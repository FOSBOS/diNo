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DieseArbeitsmappe" defaultThemeVersion="124226"/>
  <mc:AlternateContent xmlns:mc="http://schemas.openxmlformats.org/markup-compatibility/2006">
    <mc:Choice Requires="x15">
      <x15ac:absPath xmlns:x15ac="http://schemas.microsoft.com/office/spreadsheetml/2010/11/ac" url="C:\diNo\"/>
    </mc:Choice>
  </mc:AlternateContent>
  <xr:revisionPtr revIDLastSave="0" documentId="13_ncr:1_{87379467-05F2-4820-B90C-59238C23075D}" xr6:coauthVersionLast="36" xr6:coauthVersionMax="47" xr10:uidLastSave="{00000000-0000-0000-0000-000000000000}"/>
  <bookViews>
    <workbookView xWindow="-120" yWindow="-120" windowWidth="29040" windowHeight="15840" tabRatio="873" activeTab="16" xr2:uid="{00000000-000D-0000-FFFF-FFFF00000000}"/>
  </bookViews>
  <sheets>
    <sheet name="1. Halbjahr" sheetId="1" r:id="rId1"/>
    <sheet name="I1SA" sheetId="5" r:id="rId2"/>
    <sheet name="I2SA" sheetId="37" r:id="rId3"/>
    <sheet name="I1KA" sheetId="38" r:id="rId4"/>
    <sheet name="I2KA" sheetId="39" r:id="rId5"/>
    <sheet name="I1Ext" sheetId="40" r:id="rId6"/>
    <sheet name="I2Ext" sheetId="41" r:id="rId7"/>
    <sheet name="I3Ext" sheetId="42" r:id="rId8"/>
    <sheet name="2. Halbjahr" sheetId="51" r:id="rId9"/>
    <sheet name="II1SA" sheetId="43" r:id="rId10"/>
    <sheet name="II2SA" sheetId="44" r:id="rId11"/>
    <sheet name="II1KA" sheetId="45" r:id="rId12"/>
    <sheet name="II2KA" sheetId="46" r:id="rId13"/>
    <sheet name="II1Ext" sheetId="47" r:id="rId14"/>
    <sheet name="II2Ext" sheetId="48" r:id="rId15"/>
    <sheet name="II3Ext" sheetId="49" r:id="rId16"/>
    <sheet name="AP" sheetId="27" r:id="rId17"/>
    <sheet name="APRohpunkte" sheetId="32" r:id="rId18"/>
    <sheet name="Ausdruck SAP" sheetId="36" r:id="rId19"/>
    <sheet name="Ausdruck MAP" sheetId="53" r:id="rId20"/>
    <sheet name="Eingabe Abitur" sheetId="52" r:id="rId21"/>
    <sheet name="diNo" sheetId="34" r:id="rId22"/>
  </sheets>
  <definedNames>
    <definedName name="_xlnm.Print_Area" localSheetId="0">'1. Halbjahr'!$A$1:$O$39</definedName>
    <definedName name="_xlnm.Print_Area" localSheetId="8">'2. Halbjahr'!$A$1:$R$39</definedName>
    <definedName name="_xlnm.Print_Area" localSheetId="17">APRohpunkte!$A$2:$AJ$39</definedName>
    <definedName name="_xlnm.Print_Area" localSheetId="19">'Ausdruck MAP'!$A$1:$G$60</definedName>
    <definedName name="_xlnm.Print_Area" localSheetId="18">'Ausdruck SAP'!$A$1:$G$68</definedName>
    <definedName name="_xlnm.Print_Area" localSheetId="20">'Eingabe Abitur'!$A$1:$Z$80</definedName>
    <definedName name="_xlnm.Print_Area" localSheetId="5">I1Ext!$A$1:$I$59</definedName>
    <definedName name="_xlnm.Print_Area" localSheetId="3">I1KA!$A$1:$I$59</definedName>
    <definedName name="_xlnm.Print_Area" localSheetId="1">I1SA!$A$1:$I$60</definedName>
    <definedName name="_xlnm.Print_Area" localSheetId="6">I2Ext!$A$1:$I$59</definedName>
    <definedName name="_xlnm.Print_Area" localSheetId="4">I2KA!$A$1:$I$59</definedName>
    <definedName name="_xlnm.Print_Area" localSheetId="2">I2SA!$A$1:$I$59</definedName>
    <definedName name="_xlnm.Print_Area" localSheetId="7">I3Ext!$A$1:$I$59</definedName>
    <definedName name="_xlnm.Print_Area" localSheetId="13">II1Ext!$A$1:$I$59</definedName>
    <definedName name="_xlnm.Print_Area" localSheetId="11">II1KA!$A$1:$I$59</definedName>
    <definedName name="_xlnm.Print_Area" localSheetId="9">II1SA!$A$1:$I$59</definedName>
    <definedName name="_xlnm.Print_Area" localSheetId="14">II2Ext!$A$1:$I$59</definedName>
    <definedName name="_xlnm.Print_Area" localSheetId="12">II2KA!$A$1:$I$59</definedName>
    <definedName name="_xlnm.Print_Area" localSheetId="10">II2SA!$A$1:$I$59</definedName>
    <definedName name="_xlnm.Print_Area" localSheetId="15">II3Ext!$A$1:$I$59</definedName>
    <definedName name="_xlnm.Print_Titles" localSheetId="20">'Eingabe Abitur'!$1:$10</definedName>
  </definedNames>
  <calcPr calcId="191029"/>
</workbook>
</file>

<file path=xl/calcChain.xml><?xml version="1.0" encoding="utf-8"?>
<calcChain xmlns="http://schemas.openxmlformats.org/spreadsheetml/2006/main">
  <c r="C5" i="37" l="1"/>
  <c r="C6" i="37"/>
  <c r="C7" i="37"/>
  <c r="C8" i="37"/>
  <c r="C9" i="37"/>
  <c r="C10" i="37"/>
  <c r="C11" i="37"/>
  <c r="C12" i="37"/>
  <c r="C13" i="37"/>
  <c r="C14" i="37"/>
  <c r="C15" i="37"/>
  <c r="C16" i="37"/>
  <c r="C17" i="37"/>
  <c r="C18" i="37"/>
  <c r="C19" i="37"/>
  <c r="C20" i="37"/>
  <c r="C21" i="37"/>
  <c r="C22" i="37"/>
  <c r="C23" i="37"/>
  <c r="C24" i="37"/>
  <c r="C25" i="37"/>
  <c r="C26" i="37"/>
  <c r="C27" i="37"/>
  <c r="C28" i="37"/>
  <c r="C29" i="37"/>
  <c r="C30" i="37"/>
  <c r="C31" i="37"/>
  <c r="C32" i="37"/>
  <c r="C33" i="37"/>
  <c r="C34" i="37"/>
  <c r="C35" i="37"/>
  <c r="C36" i="37"/>
  <c r="C37" i="37"/>
  <c r="C38" i="37"/>
  <c r="C5" i="38"/>
  <c r="C6" i="38"/>
  <c r="C7" i="38"/>
  <c r="C8" i="38"/>
  <c r="C9" i="38"/>
  <c r="C10" i="38"/>
  <c r="C11" i="38"/>
  <c r="C12" i="38"/>
  <c r="C13" i="38"/>
  <c r="C14" i="38"/>
  <c r="C15" i="38"/>
  <c r="C16" i="38"/>
  <c r="C17" i="38"/>
  <c r="C18" i="38"/>
  <c r="C19" i="38"/>
  <c r="C20" i="38"/>
  <c r="C21" i="38"/>
  <c r="C22" i="38"/>
  <c r="C23" i="38"/>
  <c r="C24" i="38"/>
  <c r="C25" i="38"/>
  <c r="C26" i="38"/>
  <c r="C27" i="38"/>
  <c r="C28" i="38"/>
  <c r="C29" i="38"/>
  <c r="C30" i="38"/>
  <c r="C31" i="38"/>
  <c r="C32" i="38"/>
  <c r="C33" i="38"/>
  <c r="C34" i="38"/>
  <c r="C35" i="38"/>
  <c r="C36" i="38"/>
  <c r="C37" i="38"/>
  <c r="C38" i="38"/>
  <c r="C5" i="39"/>
  <c r="C6" i="39"/>
  <c r="C7" i="39"/>
  <c r="C8" i="39"/>
  <c r="C9" i="39"/>
  <c r="C10" i="39"/>
  <c r="C11" i="39"/>
  <c r="C12" i="39"/>
  <c r="C13" i="39"/>
  <c r="C14" i="39"/>
  <c r="C15" i="39"/>
  <c r="C16" i="39"/>
  <c r="C17" i="39"/>
  <c r="C18" i="39"/>
  <c r="C19" i="39"/>
  <c r="C20" i="39"/>
  <c r="C21" i="39"/>
  <c r="C22" i="39"/>
  <c r="C23" i="39"/>
  <c r="C24" i="39"/>
  <c r="C25" i="39"/>
  <c r="C26" i="39"/>
  <c r="C27" i="39"/>
  <c r="C28" i="39"/>
  <c r="C29" i="39"/>
  <c r="C30" i="39"/>
  <c r="C31" i="39"/>
  <c r="C32" i="39"/>
  <c r="C33" i="39"/>
  <c r="C34" i="39"/>
  <c r="C35" i="39"/>
  <c r="C36" i="39"/>
  <c r="C37" i="39"/>
  <c r="C38" i="39"/>
  <c r="C5" i="40"/>
  <c r="C6" i="40"/>
  <c r="C7" i="40"/>
  <c r="C8" i="40"/>
  <c r="C9" i="40"/>
  <c r="C10" i="40"/>
  <c r="C11" i="40"/>
  <c r="C12" i="40"/>
  <c r="C13" i="40"/>
  <c r="C14" i="40"/>
  <c r="C15" i="40"/>
  <c r="C16" i="40"/>
  <c r="C17" i="40"/>
  <c r="C18" i="40"/>
  <c r="C19" i="40"/>
  <c r="C20" i="40"/>
  <c r="C21" i="40"/>
  <c r="C22" i="40"/>
  <c r="C23" i="40"/>
  <c r="C24" i="40"/>
  <c r="C25" i="40"/>
  <c r="C26" i="40"/>
  <c r="C27" i="40"/>
  <c r="C28" i="40"/>
  <c r="C29" i="40"/>
  <c r="C30" i="40"/>
  <c r="C31" i="40"/>
  <c r="C32" i="40"/>
  <c r="C33" i="40"/>
  <c r="C34" i="40"/>
  <c r="C35" i="40"/>
  <c r="C36" i="40"/>
  <c r="C37" i="40"/>
  <c r="C38" i="40"/>
  <c r="C5" i="41"/>
  <c r="C6" i="41"/>
  <c r="C7" i="41"/>
  <c r="C8" i="41"/>
  <c r="C9" i="41"/>
  <c r="C10" i="41"/>
  <c r="C11" i="41"/>
  <c r="C12" i="41"/>
  <c r="C13" i="41"/>
  <c r="C14" i="41"/>
  <c r="C15" i="41"/>
  <c r="C16" i="41"/>
  <c r="C17" i="41"/>
  <c r="C18" i="41"/>
  <c r="C19" i="41"/>
  <c r="C20" i="41"/>
  <c r="C21" i="41"/>
  <c r="C22" i="41"/>
  <c r="C23" i="41"/>
  <c r="C24" i="41"/>
  <c r="C25" i="41"/>
  <c r="C26" i="41"/>
  <c r="C27" i="41"/>
  <c r="C28" i="41"/>
  <c r="C29" i="41"/>
  <c r="C30" i="41"/>
  <c r="C31" i="41"/>
  <c r="C32" i="41"/>
  <c r="C33" i="41"/>
  <c r="C34" i="41"/>
  <c r="C35" i="41"/>
  <c r="C36" i="41"/>
  <c r="C37" i="41"/>
  <c r="C38" i="41"/>
  <c r="C5" i="42"/>
  <c r="C6" i="42"/>
  <c r="C7" i="42"/>
  <c r="C8" i="42"/>
  <c r="C9" i="42"/>
  <c r="C10" i="42"/>
  <c r="C11" i="42"/>
  <c r="C12" i="42"/>
  <c r="C13" i="42"/>
  <c r="C14" i="42"/>
  <c r="C15" i="42"/>
  <c r="C16" i="42"/>
  <c r="C17" i="42"/>
  <c r="C18" i="42"/>
  <c r="C19" i="42"/>
  <c r="C20" i="42"/>
  <c r="C21" i="42"/>
  <c r="C22" i="42"/>
  <c r="C23" i="42"/>
  <c r="C24" i="42"/>
  <c r="C25" i="42"/>
  <c r="C26" i="42"/>
  <c r="C27" i="42"/>
  <c r="C28" i="42"/>
  <c r="C29" i="42"/>
  <c r="C30" i="42"/>
  <c r="C31" i="42"/>
  <c r="C32" i="42"/>
  <c r="C33" i="42"/>
  <c r="C34" i="42"/>
  <c r="C35" i="42"/>
  <c r="C36" i="42"/>
  <c r="C37" i="42"/>
  <c r="C38" i="42"/>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5" i="44"/>
  <c r="C6" i="44"/>
  <c r="C8" i="44"/>
  <c r="C9" i="44"/>
  <c r="C10" i="44"/>
  <c r="C11" i="44"/>
  <c r="C12" i="44"/>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5" i="45"/>
  <c r="C6" i="45"/>
  <c r="C7" i="45"/>
  <c r="C8" i="45"/>
  <c r="C9" i="45"/>
  <c r="C10" i="45"/>
  <c r="C11" i="45"/>
  <c r="C12" i="45"/>
  <c r="C13" i="45"/>
  <c r="C14" i="45"/>
  <c r="C15" i="45"/>
  <c r="C16" i="45"/>
  <c r="C17" i="45"/>
  <c r="C18" i="45"/>
  <c r="C19" i="45"/>
  <c r="C20" i="45"/>
  <c r="C21" i="45"/>
  <c r="C22" i="45"/>
  <c r="C23" i="45"/>
  <c r="C24" i="45"/>
  <c r="C25" i="45"/>
  <c r="C26" i="45"/>
  <c r="C27" i="45"/>
  <c r="C28" i="45"/>
  <c r="C29" i="45"/>
  <c r="C30" i="45"/>
  <c r="C31" i="45"/>
  <c r="C32" i="45"/>
  <c r="C33" i="45"/>
  <c r="C34" i="45"/>
  <c r="C35" i="45"/>
  <c r="C36" i="45"/>
  <c r="C37" i="45"/>
  <c r="C38" i="45"/>
  <c r="C5" i="46"/>
  <c r="C6" i="46"/>
  <c r="C7" i="46"/>
  <c r="C8" i="46"/>
  <c r="C9" i="46"/>
  <c r="C10" i="46"/>
  <c r="C11" i="46"/>
  <c r="C12" i="46"/>
  <c r="C13" i="46"/>
  <c r="C14" i="46"/>
  <c r="C15" i="46"/>
  <c r="C16" i="46"/>
  <c r="C17" i="46"/>
  <c r="C18" i="46"/>
  <c r="C19" i="46"/>
  <c r="C20" i="46"/>
  <c r="C21" i="46"/>
  <c r="C22" i="46"/>
  <c r="C23" i="46"/>
  <c r="C24" i="46"/>
  <c r="C25" i="46"/>
  <c r="C26" i="46"/>
  <c r="C27" i="46"/>
  <c r="C28" i="46"/>
  <c r="C29" i="46"/>
  <c r="C30" i="46"/>
  <c r="C31" i="46"/>
  <c r="C32" i="46"/>
  <c r="C33" i="46"/>
  <c r="C34" i="46"/>
  <c r="C35" i="46"/>
  <c r="C36" i="46"/>
  <c r="C37" i="46"/>
  <c r="C38" i="46"/>
  <c r="C5" i="47"/>
  <c r="C6" i="47"/>
  <c r="C7" i="47"/>
  <c r="C8" i="47"/>
  <c r="C9" i="47"/>
  <c r="C10" i="47"/>
  <c r="C11" i="47"/>
  <c r="C12" i="47"/>
  <c r="C13" i="47"/>
  <c r="C14" i="47"/>
  <c r="C15" i="47"/>
  <c r="C16" i="47"/>
  <c r="C17" i="47"/>
  <c r="C18" i="47"/>
  <c r="C19" i="47"/>
  <c r="C20" i="47"/>
  <c r="C21" i="47"/>
  <c r="C22" i="47"/>
  <c r="C23" i="47"/>
  <c r="C24" i="47"/>
  <c r="C25" i="47"/>
  <c r="C26" i="47"/>
  <c r="C27" i="47"/>
  <c r="C28" i="47"/>
  <c r="C29" i="47"/>
  <c r="C30" i="47"/>
  <c r="C31" i="47"/>
  <c r="C32" i="47"/>
  <c r="C33" i="47"/>
  <c r="C34" i="47"/>
  <c r="C35" i="47"/>
  <c r="C36" i="47"/>
  <c r="C37" i="47"/>
  <c r="C38" i="47"/>
  <c r="C5" i="48"/>
  <c r="C6" i="48"/>
  <c r="C7" i="48"/>
  <c r="C8" i="48"/>
  <c r="C9" i="48"/>
  <c r="C10" i="48"/>
  <c r="C11" i="48"/>
  <c r="C12" i="48"/>
  <c r="C13" i="48"/>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5" i="49"/>
  <c r="C6" i="49"/>
  <c r="C7" i="49"/>
  <c r="C8" i="49"/>
  <c r="C9" i="49"/>
  <c r="C10" i="49"/>
  <c r="C11" i="49"/>
  <c r="C12" i="49"/>
  <c r="C13" i="49"/>
  <c r="C14" i="49"/>
  <c r="C15" i="49"/>
  <c r="C16" i="49"/>
  <c r="C17" i="49"/>
  <c r="C18" i="49"/>
  <c r="C19" i="49"/>
  <c r="C20" i="49"/>
  <c r="C21" i="49"/>
  <c r="C22" i="49"/>
  <c r="C23" i="49"/>
  <c r="C24" i="49"/>
  <c r="C25" i="49"/>
  <c r="C26" i="49"/>
  <c r="C27" i="49"/>
  <c r="C28" i="49"/>
  <c r="C29" i="49"/>
  <c r="C30" i="49"/>
  <c r="C31" i="49"/>
  <c r="C32" i="49"/>
  <c r="C33" i="49"/>
  <c r="C34" i="49"/>
  <c r="C35" i="49"/>
  <c r="C36" i="49"/>
  <c r="C37" i="49"/>
  <c r="C38" i="49"/>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4" i="37"/>
  <c r="C4" i="38"/>
  <c r="C4" i="39"/>
  <c r="C4" i="40"/>
  <c r="C4" i="41"/>
  <c r="C4" i="42"/>
  <c r="C4" i="45"/>
  <c r="C4" i="46"/>
  <c r="C4" i="47"/>
  <c r="C4" i="48"/>
  <c r="C4" i="49"/>
  <c r="C4" i="5"/>
  <c r="O19" i="37"/>
  <c r="O19" i="38"/>
  <c r="O19" i="39"/>
  <c r="O19" i="40"/>
  <c r="O19" i="41"/>
  <c r="O19" i="42"/>
  <c r="O19" i="43"/>
  <c r="O19" i="44"/>
  <c r="O19" i="45"/>
  <c r="O19" i="46"/>
  <c r="O19" i="47"/>
  <c r="O19" i="48"/>
  <c r="O19" i="49"/>
  <c r="O19" i="5"/>
  <c r="B1" i="27"/>
  <c r="D3" i="37" l="1"/>
  <c r="D3" i="38"/>
  <c r="D3" i="39"/>
  <c r="D3" i="40"/>
  <c r="D3" i="41"/>
  <c r="D3" i="42"/>
  <c r="D3" i="43"/>
  <c r="D3" i="44"/>
  <c r="D3" i="45"/>
  <c r="D3" i="46"/>
  <c r="D3" i="47"/>
  <c r="D3" i="48"/>
  <c r="D3" i="49"/>
  <c r="D3" i="5"/>
  <c r="M5" i="37"/>
  <c r="M6" i="37"/>
  <c r="M7" i="37"/>
  <c r="M8" i="37"/>
  <c r="M9" i="37"/>
  <c r="M10" i="37"/>
  <c r="M11" i="37"/>
  <c r="M12" i="37"/>
  <c r="M13" i="37"/>
  <c r="M14" i="37"/>
  <c r="M15" i="37"/>
  <c r="M16" i="37"/>
  <c r="M17" i="37"/>
  <c r="M18" i="37"/>
  <c r="M19" i="37"/>
  <c r="M20" i="37"/>
  <c r="M21" i="37"/>
  <c r="M22" i="37"/>
  <c r="M23" i="37"/>
  <c r="M24" i="37"/>
  <c r="M25" i="37"/>
  <c r="M26" i="37"/>
  <c r="M27" i="37"/>
  <c r="M28" i="37"/>
  <c r="M29" i="37"/>
  <c r="M30" i="37"/>
  <c r="M31" i="37"/>
  <c r="M32" i="37"/>
  <c r="M33" i="37"/>
  <c r="M34" i="37"/>
  <c r="M35" i="37"/>
  <c r="M36" i="37"/>
  <c r="M37" i="37"/>
  <c r="M38" i="37"/>
  <c r="M5" i="38"/>
  <c r="M6" i="38"/>
  <c r="M7" i="38"/>
  <c r="M8" i="38"/>
  <c r="M9" i="38"/>
  <c r="M10" i="38"/>
  <c r="M11" i="38"/>
  <c r="M12" i="38"/>
  <c r="M13" i="38"/>
  <c r="M14" i="38"/>
  <c r="M15" i="38"/>
  <c r="M16" i="38"/>
  <c r="M17" i="38"/>
  <c r="M18" i="38"/>
  <c r="M19" i="38"/>
  <c r="M20" i="38"/>
  <c r="M21" i="38"/>
  <c r="M22" i="38"/>
  <c r="M23" i="38"/>
  <c r="M24" i="38"/>
  <c r="M25" i="38"/>
  <c r="M26" i="38"/>
  <c r="M27" i="38"/>
  <c r="M28" i="38"/>
  <c r="M29" i="38"/>
  <c r="M30" i="38"/>
  <c r="M31" i="38"/>
  <c r="M32" i="38"/>
  <c r="M33" i="38"/>
  <c r="M34" i="38"/>
  <c r="M35" i="38"/>
  <c r="M36" i="38"/>
  <c r="M37" i="38"/>
  <c r="M38" i="38"/>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5" i="40"/>
  <c r="M6" i="40"/>
  <c r="M7" i="40"/>
  <c r="M8" i="40"/>
  <c r="M9" i="40"/>
  <c r="M10" i="40"/>
  <c r="M11" i="40"/>
  <c r="M12" i="40"/>
  <c r="M13" i="40"/>
  <c r="M14" i="40"/>
  <c r="M15" i="40"/>
  <c r="M16" i="40"/>
  <c r="M17" i="40"/>
  <c r="M18" i="40"/>
  <c r="M19" i="40"/>
  <c r="M20" i="40"/>
  <c r="M21" i="40"/>
  <c r="M22" i="40"/>
  <c r="M23" i="40"/>
  <c r="M24" i="40"/>
  <c r="M25" i="40"/>
  <c r="M26" i="40"/>
  <c r="M27" i="40"/>
  <c r="M28" i="40"/>
  <c r="M29" i="40"/>
  <c r="M30" i="40"/>
  <c r="M31" i="40"/>
  <c r="M32" i="40"/>
  <c r="M33" i="40"/>
  <c r="M34" i="40"/>
  <c r="M35" i="40"/>
  <c r="M36" i="40"/>
  <c r="M37" i="40"/>
  <c r="M38" i="40"/>
  <c r="M5" i="41"/>
  <c r="M6" i="41"/>
  <c r="M7" i="41"/>
  <c r="M8" i="41"/>
  <c r="M9" i="41"/>
  <c r="M10" i="41"/>
  <c r="M11" i="41"/>
  <c r="M12" i="41"/>
  <c r="M13" i="41"/>
  <c r="M14" i="41"/>
  <c r="M15" i="41"/>
  <c r="M16" i="41"/>
  <c r="M17" i="41"/>
  <c r="M18" i="41"/>
  <c r="M19" i="41"/>
  <c r="M20" i="41"/>
  <c r="M21" i="41"/>
  <c r="M22" i="41"/>
  <c r="M23" i="41"/>
  <c r="M24" i="41"/>
  <c r="M25" i="41"/>
  <c r="M26" i="41"/>
  <c r="M27" i="41"/>
  <c r="M28" i="41"/>
  <c r="M29" i="41"/>
  <c r="M30" i="41"/>
  <c r="M31" i="41"/>
  <c r="M32" i="41"/>
  <c r="M33" i="41"/>
  <c r="M34" i="41"/>
  <c r="M35" i="41"/>
  <c r="M36" i="41"/>
  <c r="M37" i="41"/>
  <c r="M38" i="41"/>
  <c r="M5" i="42"/>
  <c r="M6" i="42"/>
  <c r="M7" i="42"/>
  <c r="M8" i="42"/>
  <c r="M9" i="42"/>
  <c r="M10" i="42"/>
  <c r="M11" i="42"/>
  <c r="M12" i="42"/>
  <c r="M13" i="42"/>
  <c r="M14" i="42"/>
  <c r="M15" i="42"/>
  <c r="M16" i="42"/>
  <c r="M17" i="42"/>
  <c r="M18" i="42"/>
  <c r="M19" i="42"/>
  <c r="M20" i="42"/>
  <c r="M21" i="42"/>
  <c r="M22" i="42"/>
  <c r="M23" i="42"/>
  <c r="M24" i="42"/>
  <c r="M25" i="42"/>
  <c r="M26" i="42"/>
  <c r="M27" i="42"/>
  <c r="M28" i="42"/>
  <c r="M29" i="42"/>
  <c r="M30" i="42"/>
  <c r="M31" i="42"/>
  <c r="M32" i="42"/>
  <c r="M33" i="42"/>
  <c r="M34" i="42"/>
  <c r="M35" i="42"/>
  <c r="M36" i="42"/>
  <c r="M37" i="42"/>
  <c r="M38" i="42"/>
  <c r="M5" i="43"/>
  <c r="M6" i="43"/>
  <c r="M7" i="43"/>
  <c r="M8" i="43"/>
  <c r="M9" i="43"/>
  <c r="M10" i="43"/>
  <c r="M11" i="43"/>
  <c r="M12" i="43"/>
  <c r="M13" i="43"/>
  <c r="M14" i="43"/>
  <c r="M15" i="43"/>
  <c r="M16" i="43"/>
  <c r="M17" i="43"/>
  <c r="M18" i="43"/>
  <c r="M19" i="43"/>
  <c r="M20" i="43"/>
  <c r="M21" i="43"/>
  <c r="M22" i="43"/>
  <c r="M23" i="43"/>
  <c r="M24" i="43"/>
  <c r="M25" i="43"/>
  <c r="M26" i="43"/>
  <c r="M27" i="43"/>
  <c r="M28" i="43"/>
  <c r="M29" i="43"/>
  <c r="M30" i="43"/>
  <c r="M31" i="43"/>
  <c r="M32" i="43"/>
  <c r="M33" i="43"/>
  <c r="M34" i="43"/>
  <c r="M35" i="43"/>
  <c r="M36" i="43"/>
  <c r="M37" i="43"/>
  <c r="M38" i="43"/>
  <c r="M5" i="44"/>
  <c r="M6" i="44"/>
  <c r="M7" i="44"/>
  <c r="M8" i="44"/>
  <c r="M9" i="44"/>
  <c r="M10" i="44"/>
  <c r="M11" i="44"/>
  <c r="M12" i="44"/>
  <c r="M13" i="44"/>
  <c r="M14" i="44"/>
  <c r="M15" i="44"/>
  <c r="M16" i="44"/>
  <c r="M17" i="44"/>
  <c r="M18" i="44"/>
  <c r="M19" i="44"/>
  <c r="M20" i="44"/>
  <c r="M21" i="44"/>
  <c r="M22" i="44"/>
  <c r="M23" i="44"/>
  <c r="M24" i="44"/>
  <c r="M25" i="44"/>
  <c r="M26" i="44"/>
  <c r="M27" i="44"/>
  <c r="M28" i="44"/>
  <c r="M29" i="44"/>
  <c r="M30" i="44"/>
  <c r="M31" i="44"/>
  <c r="M32" i="44"/>
  <c r="M33" i="44"/>
  <c r="M34" i="44"/>
  <c r="M35" i="44"/>
  <c r="M36" i="44"/>
  <c r="M37" i="44"/>
  <c r="M38" i="44"/>
  <c r="M5" i="45"/>
  <c r="M6" i="45"/>
  <c r="M7" i="45"/>
  <c r="M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5" i="46"/>
  <c r="M6" i="46"/>
  <c r="M7" i="46"/>
  <c r="M8" i="46"/>
  <c r="M9" i="46"/>
  <c r="M10" i="46"/>
  <c r="M11" i="46"/>
  <c r="M12" i="46"/>
  <c r="M13" i="46"/>
  <c r="M14" i="46"/>
  <c r="M15" i="46"/>
  <c r="M16" i="46"/>
  <c r="M17" i="46"/>
  <c r="M18" i="46"/>
  <c r="M19" i="46"/>
  <c r="M20" i="46"/>
  <c r="M21" i="46"/>
  <c r="M22" i="46"/>
  <c r="M23" i="46"/>
  <c r="M24" i="46"/>
  <c r="M25" i="46"/>
  <c r="M26" i="46"/>
  <c r="M27" i="46"/>
  <c r="M28" i="46"/>
  <c r="M29" i="46"/>
  <c r="M30" i="46"/>
  <c r="M31" i="46"/>
  <c r="M32" i="46"/>
  <c r="M33" i="46"/>
  <c r="M34" i="46"/>
  <c r="M35" i="46"/>
  <c r="M36" i="46"/>
  <c r="M37" i="46"/>
  <c r="M38" i="46"/>
  <c r="M5" i="47"/>
  <c r="M6" i="47"/>
  <c r="M7" i="47"/>
  <c r="M8" i="47"/>
  <c r="M9" i="47"/>
  <c r="M10" i="47"/>
  <c r="M11" i="47"/>
  <c r="M12" i="47"/>
  <c r="M13" i="47"/>
  <c r="M14" i="47"/>
  <c r="M15" i="47"/>
  <c r="M16" i="47"/>
  <c r="M17" i="47"/>
  <c r="M18" i="47"/>
  <c r="M19" i="47"/>
  <c r="M20" i="47"/>
  <c r="M21" i="47"/>
  <c r="M22" i="47"/>
  <c r="M23" i="47"/>
  <c r="M24" i="47"/>
  <c r="M25" i="47"/>
  <c r="M26" i="47"/>
  <c r="M27" i="47"/>
  <c r="M28" i="47"/>
  <c r="M29" i="47"/>
  <c r="M30" i="47"/>
  <c r="M31" i="47"/>
  <c r="M32" i="47"/>
  <c r="M33" i="47"/>
  <c r="M34" i="47"/>
  <c r="M35" i="47"/>
  <c r="M36" i="47"/>
  <c r="M37" i="47"/>
  <c r="M38" i="47"/>
  <c r="M5" i="48"/>
  <c r="M6" i="48"/>
  <c r="M7" i="48"/>
  <c r="M8" i="48"/>
  <c r="M9" i="48"/>
  <c r="M10" i="48"/>
  <c r="M11" i="48"/>
  <c r="M12" i="48"/>
  <c r="M13" i="48"/>
  <c r="M14" i="48"/>
  <c r="M15" i="48"/>
  <c r="M16" i="48"/>
  <c r="M17" i="48"/>
  <c r="M18" i="48"/>
  <c r="M19" i="48"/>
  <c r="M20" i="48"/>
  <c r="M21" i="48"/>
  <c r="M22" i="48"/>
  <c r="M23" i="48"/>
  <c r="M24" i="48"/>
  <c r="M25" i="48"/>
  <c r="M26" i="48"/>
  <c r="M27" i="48"/>
  <c r="M28" i="48"/>
  <c r="M29" i="48"/>
  <c r="M30" i="48"/>
  <c r="M31" i="48"/>
  <c r="M32" i="48"/>
  <c r="M33" i="48"/>
  <c r="M34" i="48"/>
  <c r="M35" i="48"/>
  <c r="M36" i="48"/>
  <c r="M37" i="48"/>
  <c r="M38" i="48"/>
  <c r="M5" i="49"/>
  <c r="M6" i="49"/>
  <c r="M7" i="49"/>
  <c r="M8" i="49"/>
  <c r="M9" i="49"/>
  <c r="M10" i="49"/>
  <c r="M11" i="49"/>
  <c r="M12" i="49"/>
  <c r="M13" i="49"/>
  <c r="M14" i="49"/>
  <c r="M15" i="49"/>
  <c r="M16" i="49"/>
  <c r="M17" i="49"/>
  <c r="M18" i="49"/>
  <c r="M19" i="49"/>
  <c r="M20" i="49"/>
  <c r="M21" i="49"/>
  <c r="M22" i="49"/>
  <c r="M23" i="49"/>
  <c r="M24" i="49"/>
  <c r="M25" i="49"/>
  <c r="M26" i="49"/>
  <c r="M27" i="49"/>
  <c r="M28" i="49"/>
  <c r="M29" i="49"/>
  <c r="M30" i="49"/>
  <c r="M31" i="49"/>
  <c r="M32" i="49"/>
  <c r="M33" i="49"/>
  <c r="M34" i="49"/>
  <c r="M35" i="49"/>
  <c r="M36" i="49"/>
  <c r="M37" i="49"/>
  <c r="M38" i="49"/>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4" i="37"/>
  <c r="M4" i="38"/>
  <c r="M4" i="39"/>
  <c r="M4" i="40"/>
  <c r="M4" i="41"/>
  <c r="M4" i="42"/>
  <c r="M4" i="43"/>
  <c r="M4" i="44"/>
  <c r="M4" i="45"/>
  <c r="M4" i="46"/>
  <c r="M4" i="47"/>
  <c r="M4" i="48"/>
  <c r="M4" i="49"/>
  <c r="M4" i="5"/>
  <c r="E3" i="27"/>
  <c r="C7" i="44"/>
  <c r="C4" i="43"/>
  <c r="C4" i="44"/>
  <c r="I1" i="51" l="1"/>
  <c r="AA40" i="32" l="1"/>
  <c r="AA41" i="32" s="1"/>
  <c r="AB40" i="32"/>
  <c r="AB41" i="32" s="1"/>
  <c r="AC40" i="32"/>
  <c r="AC41" i="32" s="1"/>
  <c r="K1" i="51" l="1"/>
  <c r="E1" i="51"/>
  <c r="B1" i="51"/>
  <c r="B2" i="32" l="1"/>
  <c r="F64" i="27" l="1"/>
  <c r="E65" i="27" s="1"/>
  <c r="B5" i="51"/>
  <c r="B6" i="51"/>
  <c r="B7" i="51"/>
  <c r="B8" i="51"/>
  <c r="B9" i="51"/>
  <c r="B10" i="51"/>
  <c r="B11" i="51"/>
  <c r="B12" i="51"/>
  <c r="B13" i="51"/>
  <c r="B14" i="51"/>
  <c r="B15" i="51"/>
  <c r="B16" i="51"/>
  <c r="B17" i="51"/>
  <c r="B18" i="51"/>
  <c r="B19" i="51"/>
  <c r="B20" i="51"/>
  <c r="B21" i="51"/>
  <c r="B22" i="51"/>
  <c r="B23" i="51"/>
  <c r="B24" i="51"/>
  <c r="B25" i="51"/>
  <c r="B26" i="51"/>
  <c r="B27" i="51"/>
  <c r="B28" i="51"/>
  <c r="B29" i="51"/>
  <c r="B30" i="51"/>
  <c r="B31" i="51"/>
  <c r="B32" i="51"/>
  <c r="B33" i="51"/>
  <c r="B34" i="51"/>
  <c r="B35" i="51"/>
  <c r="B36" i="51"/>
  <c r="B37" i="51"/>
  <c r="B38" i="51"/>
  <c r="B4" i="51"/>
  <c r="B10" i="53" l="1"/>
  <c r="B11" i="53"/>
  <c r="B12" i="53"/>
  <c r="B13" i="53"/>
  <c r="B14" i="53"/>
  <c r="B15" i="53"/>
  <c r="B16" i="53"/>
  <c r="B17" i="53"/>
  <c r="B18" i="53"/>
  <c r="B19" i="53"/>
  <c r="B20" i="53"/>
  <c r="B21" i="53"/>
  <c r="B22" i="53"/>
  <c r="B23" i="53"/>
  <c r="B24" i="53"/>
  <c r="B25" i="53"/>
  <c r="B26" i="53"/>
  <c r="B27" i="53"/>
  <c r="B28" i="53"/>
  <c r="B29" i="53"/>
  <c r="B30" i="53"/>
  <c r="B31" i="53"/>
  <c r="B32" i="53"/>
  <c r="B33" i="53"/>
  <c r="B34" i="53"/>
  <c r="B35" i="53"/>
  <c r="B36" i="53"/>
  <c r="B37" i="53"/>
  <c r="B38" i="53"/>
  <c r="B39" i="53"/>
  <c r="B40" i="53"/>
  <c r="B41" i="53"/>
  <c r="B42" i="53"/>
  <c r="B43" i="53"/>
  <c r="B9" i="53"/>
  <c r="B79" i="52"/>
  <c r="X79" i="52" s="1"/>
  <c r="H40" i="27" s="1"/>
  <c r="B77" i="52"/>
  <c r="J78" i="52" s="1"/>
  <c r="B75" i="52"/>
  <c r="B73" i="52"/>
  <c r="B71" i="52"/>
  <c r="Z71" i="52" s="1"/>
  <c r="B69" i="52"/>
  <c r="B67" i="52"/>
  <c r="V67" i="52" s="1"/>
  <c r="B65" i="52"/>
  <c r="B63" i="52"/>
  <c r="V63" i="52" s="1"/>
  <c r="B61" i="52"/>
  <c r="P61" i="52" s="1"/>
  <c r="B59" i="52"/>
  <c r="Z59" i="52" s="1"/>
  <c r="B57" i="52"/>
  <c r="B55" i="52"/>
  <c r="Z55" i="52" s="1"/>
  <c r="B53" i="52"/>
  <c r="B51" i="52"/>
  <c r="X51" i="52" s="1"/>
  <c r="H26" i="27" s="1"/>
  <c r="B49" i="52"/>
  <c r="B47" i="52"/>
  <c r="Z47" i="52" s="1"/>
  <c r="B45" i="52"/>
  <c r="B43" i="52"/>
  <c r="Z44" i="52" s="1"/>
  <c r="B41" i="52"/>
  <c r="B39" i="52"/>
  <c r="P40" i="52" s="1"/>
  <c r="B37" i="52"/>
  <c r="Q38" i="52" s="1"/>
  <c r="D24" i="36" s="1"/>
  <c r="B35" i="52"/>
  <c r="X35" i="52" s="1"/>
  <c r="B33" i="52"/>
  <c r="B31" i="52"/>
  <c r="B29" i="52"/>
  <c r="J30" i="52" s="1"/>
  <c r="B27" i="52"/>
  <c r="Q27" i="52" s="1"/>
  <c r="B25" i="52"/>
  <c r="B23" i="52"/>
  <c r="B21" i="52"/>
  <c r="W21" i="52" s="1"/>
  <c r="B19" i="52"/>
  <c r="J20" i="52" s="1"/>
  <c r="B17" i="52"/>
  <c r="P18" i="52" s="1"/>
  <c r="B15" i="52"/>
  <c r="B13" i="52"/>
  <c r="W13" i="52" s="1"/>
  <c r="Y42" i="52"/>
  <c r="Y50" i="52"/>
  <c r="J58" i="52"/>
  <c r="Y66" i="52"/>
  <c r="P68" i="52"/>
  <c r="J74" i="52"/>
  <c r="Z75" i="52"/>
  <c r="B11" i="52"/>
  <c r="J12" i="52" s="1"/>
  <c r="P80" i="52"/>
  <c r="J79" i="52"/>
  <c r="Y78" i="52"/>
  <c r="Q78" i="52"/>
  <c r="W77" i="52"/>
  <c r="P77" i="52"/>
  <c r="P76" i="52"/>
  <c r="Q75" i="52"/>
  <c r="R75" i="52" s="1"/>
  <c r="Q74" i="52"/>
  <c r="Y74" i="52"/>
  <c r="V71" i="52"/>
  <c r="Z64" i="52"/>
  <c r="Y64" i="52"/>
  <c r="Y62" i="52"/>
  <c r="Q62" i="52"/>
  <c r="W61" i="52"/>
  <c r="P60" i="52"/>
  <c r="Q58" i="52"/>
  <c r="Y58" i="52"/>
  <c r="Z56" i="52"/>
  <c r="P56" i="52"/>
  <c r="X55" i="52"/>
  <c r="H28" i="27" s="1"/>
  <c r="V55" i="52"/>
  <c r="Q55" i="52"/>
  <c r="R55" i="52" s="1"/>
  <c r="Y56" i="52"/>
  <c r="Q54" i="52"/>
  <c r="Q52" i="52"/>
  <c r="W49" i="52"/>
  <c r="J50" i="52"/>
  <c r="Z48" i="52"/>
  <c r="P48" i="52"/>
  <c r="X47" i="52"/>
  <c r="H24" i="27" s="1"/>
  <c r="V47" i="52"/>
  <c r="Q47" i="52"/>
  <c r="R47" i="52" s="1"/>
  <c r="J47" i="52"/>
  <c r="Y48" i="52"/>
  <c r="Y46" i="52"/>
  <c r="Q46" i="52"/>
  <c r="J46" i="52"/>
  <c r="W45" i="52"/>
  <c r="P45" i="52"/>
  <c r="Q44" i="52"/>
  <c r="J42" i="52"/>
  <c r="P41" i="52"/>
  <c r="Z40" i="52"/>
  <c r="J39" i="52"/>
  <c r="P34" i="52"/>
  <c r="V29" i="52"/>
  <c r="Q25" i="52"/>
  <c r="V21" i="52"/>
  <c r="P21" i="52"/>
  <c r="J21" i="52"/>
  <c r="W19" i="52"/>
  <c r="J11" i="52"/>
  <c r="V10" i="52"/>
  <c r="P10" i="52"/>
  <c r="J10" i="52"/>
  <c r="E4" i="53"/>
  <c r="B3" i="27"/>
  <c r="B4" i="52" s="1"/>
  <c r="Q10" i="52" l="1"/>
  <c r="C21" i="53"/>
  <c r="H18" i="27"/>
  <c r="X43" i="52"/>
  <c r="D28" i="36"/>
  <c r="R46" i="52"/>
  <c r="Z52" i="52"/>
  <c r="J63" i="52"/>
  <c r="Y72" i="52"/>
  <c r="X71" i="52"/>
  <c r="D42" i="36"/>
  <c r="R74" i="52"/>
  <c r="Q79" i="52"/>
  <c r="R79" i="52" s="1"/>
  <c r="Z80" i="52"/>
  <c r="V51" i="52"/>
  <c r="J62" i="52"/>
  <c r="C29" i="53"/>
  <c r="D27" i="36"/>
  <c r="R44" i="52"/>
  <c r="D34" i="36"/>
  <c r="R58" i="52"/>
  <c r="D36" i="36"/>
  <c r="R62" i="52"/>
  <c r="X63" i="52"/>
  <c r="J71" i="52"/>
  <c r="P72" i="52"/>
  <c r="D44" i="36"/>
  <c r="R78" i="52"/>
  <c r="V79" i="52"/>
  <c r="P64" i="52"/>
  <c r="D31" i="36"/>
  <c r="R52" i="52"/>
  <c r="D32" i="36"/>
  <c r="R54" i="52"/>
  <c r="Q59" i="52"/>
  <c r="R59" i="52" s="1"/>
  <c r="Z63" i="52"/>
  <c r="Q71" i="52"/>
  <c r="R71" i="52" s="1"/>
  <c r="Z72" i="52"/>
  <c r="Z79" i="52"/>
  <c r="C27" i="53"/>
  <c r="C31" i="53"/>
  <c r="C43" i="53"/>
  <c r="W11" i="52"/>
  <c r="P12" i="52"/>
  <c r="A5" i="36"/>
  <c r="J22" i="52"/>
  <c r="R25" i="52"/>
  <c r="R27" i="52"/>
  <c r="J29" i="52"/>
  <c r="P29" i="52"/>
  <c r="W35" i="52"/>
  <c r="P35" i="52"/>
  <c r="R38" i="52"/>
  <c r="A4" i="53"/>
  <c r="V39" i="52"/>
  <c r="X39" i="52"/>
  <c r="Y40" i="52"/>
  <c r="Z39" i="52"/>
  <c r="Q30" i="52"/>
  <c r="D20" i="36" s="1"/>
  <c r="W29" i="52"/>
  <c r="Q22" i="52"/>
  <c r="D16" i="36" s="1"/>
  <c r="J19" i="52"/>
  <c r="P20" i="52"/>
  <c r="E5" i="36"/>
  <c r="B5" i="52"/>
  <c r="Y80" i="52"/>
  <c r="Q63" i="52"/>
  <c r="R63" i="52" s="1"/>
  <c r="J55" i="52"/>
  <c r="Q39" i="52"/>
  <c r="R39" i="52" s="1"/>
  <c r="V27" i="52"/>
  <c r="Q35" i="52"/>
  <c r="J43" i="52"/>
  <c r="Z43" i="52"/>
  <c r="J51" i="52"/>
  <c r="Z51" i="52"/>
  <c r="Q68" i="52"/>
  <c r="X67" i="52"/>
  <c r="Z68" i="52"/>
  <c r="Q17" i="52"/>
  <c r="Q19" i="52"/>
  <c r="P26" i="52"/>
  <c r="J27" i="52"/>
  <c r="W27" i="52"/>
  <c r="X27" i="52" s="1"/>
  <c r="H14" i="27" s="1"/>
  <c r="P28" i="52"/>
  <c r="Q33" i="52"/>
  <c r="V35" i="52"/>
  <c r="P36" i="52"/>
  <c r="Q42" i="52"/>
  <c r="Q43" i="52"/>
  <c r="R43" i="52" s="1"/>
  <c r="P44" i="52"/>
  <c r="Q51" i="52"/>
  <c r="R51" i="52" s="1"/>
  <c r="P52" i="52"/>
  <c r="P57" i="52"/>
  <c r="Q60" i="52"/>
  <c r="X59" i="52"/>
  <c r="W65" i="52"/>
  <c r="J67" i="52"/>
  <c r="Z67" i="52"/>
  <c r="P73" i="52"/>
  <c r="Q76" i="52"/>
  <c r="X75" i="52"/>
  <c r="P19" i="52"/>
  <c r="X19" i="52"/>
  <c r="Q28" i="52"/>
  <c r="D19" i="36" s="1"/>
  <c r="J28" i="52"/>
  <c r="J36" i="52"/>
  <c r="V59" i="52"/>
  <c r="Z60" i="52"/>
  <c r="V75" i="52"/>
  <c r="Z76" i="52"/>
  <c r="Q20" i="52"/>
  <c r="D15" i="36" s="1"/>
  <c r="V19" i="52"/>
  <c r="P27" i="52"/>
  <c r="J35" i="52"/>
  <c r="V43" i="52"/>
  <c r="J59" i="52"/>
  <c r="Q67" i="52"/>
  <c r="R67" i="52" s="1"/>
  <c r="J75" i="52"/>
  <c r="J13" i="52"/>
  <c r="P13" i="52"/>
  <c r="Q13" i="52" s="1"/>
  <c r="J14" i="52"/>
  <c r="Q14" i="52" s="1"/>
  <c r="D12" i="36" s="1"/>
  <c r="V13" i="52"/>
  <c r="P11" i="52"/>
  <c r="X11" i="52"/>
  <c r="Q11" i="52"/>
  <c r="R11" i="52" s="1"/>
  <c r="Q12" i="52"/>
  <c r="D11" i="36" s="1"/>
  <c r="V11" i="52"/>
  <c r="Z70" i="52"/>
  <c r="P70" i="52"/>
  <c r="X69" i="52"/>
  <c r="Q69" i="52"/>
  <c r="R69" i="52" s="1"/>
  <c r="Z69" i="52"/>
  <c r="V69" i="52"/>
  <c r="J69" i="52"/>
  <c r="Y69" i="52"/>
  <c r="V15" i="52"/>
  <c r="V23" i="52"/>
  <c r="J31" i="52"/>
  <c r="V31" i="52"/>
  <c r="Q34" i="52"/>
  <c r="D22" i="36" s="1"/>
  <c r="Y49" i="52"/>
  <c r="P53" i="52"/>
  <c r="Z65" i="52"/>
  <c r="V65" i="52"/>
  <c r="J65" i="52"/>
  <c r="Z66" i="52"/>
  <c r="P66" i="52"/>
  <c r="X65" i="52"/>
  <c r="Q65" i="52"/>
  <c r="R65" i="52" s="1"/>
  <c r="Y65" i="52"/>
  <c r="P69" i="52"/>
  <c r="J70" i="52"/>
  <c r="X13" i="52"/>
  <c r="P14" i="52"/>
  <c r="P15" i="52"/>
  <c r="W15" i="52"/>
  <c r="J16" i="52"/>
  <c r="J17" i="52"/>
  <c r="V17" i="52"/>
  <c r="Q21" i="52"/>
  <c r="X21" i="52"/>
  <c r="P22" i="52"/>
  <c r="P23" i="52"/>
  <c r="W23" i="52"/>
  <c r="J24" i="52"/>
  <c r="J25" i="52"/>
  <c r="V25" i="52"/>
  <c r="Q29" i="52"/>
  <c r="X29" i="52"/>
  <c r="P30" i="52"/>
  <c r="P31" i="52"/>
  <c r="W31" i="52"/>
  <c r="J32" i="52"/>
  <c r="J33" i="52"/>
  <c r="V33" i="52"/>
  <c r="Q36" i="52"/>
  <c r="D23" i="36" s="1"/>
  <c r="W41" i="52"/>
  <c r="Z46" i="52"/>
  <c r="P46" i="52"/>
  <c r="X45" i="52"/>
  <c r="Q45" i="52"/>
  <c r="R45" i="52" s="1"/>
  <c r="Z45" i="52"/>
  <c r="V45" i="52"/>
  <c r="J45" i="52"/>
  <c r="Y45" i="52"/>
  <c r="P49" i="52"/>
  <c r="W57" i="52"/>
  <c r="Z62" i="52"/>
  <c r="P62" i="52"/>
  <c r="X61" i="52"/>
  <c r="Q61" i="52"/>
  <c r="R61" i="52" s="1"/>
  <c r="Z61" i="52"/>
  <c r="V61" i="52"/>
  <c r="J61" i="52"/>
  <c r="Y61" i="52"/>
  <c r="P65" i="52"/>
  <c r="J66" i="52"/>
  <c r="Q70" i="52"/>
  <c r="W73" i="52"/>
  <c r="Z78" i="52"/>
  <c r="P78" i="52"/>
  <c r="X77" i="52"/>
  <c r="Q77" i="52"/>
  <c r="R77" i="52" s="1"/>
  <c r="Z77" i="52"/>
  <c r="V77" i="52"/>
  <c r="J77" i="52"/>
  <c r="Y77" i="52"/>
  <c r="Q16" i="52"/>
  <c r="D13" i="36" s="1"/>
  <c r="Q24" i="52"/>
  <c r="D17" i="36" s="1"/>
  <c r="Q32" i="52"/>
  <c r="D21" i="36" s="1"/>
  <c r="P38" i="52"/>
  <c r="Q37" i="52"/>
  <c r="V37" i="52"/>
  <c r="J37" i="52"/>
  <c r="Z54" i="52"/>
  <c r="P54" i="52"/>
  <c r="X53" i="52"/>
  <c r="Q53" i="52"/>
  <c r="R53" i="52" s="1"/>
  <c r="Z53" i="52"/>
  <c r="V53" i="52"/>
  <c r="J53" i="52"/>
  <c r="Y53" i="52"/>
  <c r="J15" i="52"/>
  <c r="Q18" i="52"/>
  <c r="D14" i="36" s="1"/>
  <c r="J23" i="52"/>
  <c r="Q26" i="52"/>
  <c r="D18" i="36" s="1"/>
  <c r="P37" i="52"/>
  <c r="J38" i="52"/>
  <c r="Z49" i="52"/>
  <c r="V49" i="52"/>
  <c r="J49" i="52"/>
  <c r="Z50" i="52"/>
  <c r="P50" i="52"/>
  <c r="X49" i="52"/>
  <c r="Q49" i="52"/>
  <c r="R49" i="52" s="1"/>
  <c r="J54" i="52"/>
  <c r="Q15" i="52"/>
  <c r="X15" i="52"/>
  <c r="P16" i="52"/>
  <c r="P17" i="52"/>
  <c r="W17" i="52"/>
  <c r="X17" i="52" s="1"/>
  <c r="J18" i="52"/>
  <c r="Q23" i="52"/>
  <c r="X23" i="52"/>
  <c r="P24" i="52"/>
  <c r="P25" i="52"/>
  <c r="W25" i="52"/>
  <c r="X25" i="52" s="1"/>
  <c r="J26" i="52"/>
  <c r="Q31" i="52"/>
  <c r="X31" i="52"/>
  <c r="P32" i="52"/>
  <c r="P33" i="52"/>
  <c r="W33" i="52"/>
  <c r="X33" i="52" s="1"/>
  <c r="J34" i="52"/>
  <c r="W37" i="52"/>
  <c r="X37" i="52" s="1"/>
  <c r="H19" i="27" s="1"/>
  <c r="Z41" i="52"/>
  <c r="V41" i="52"/>
  <c r="J41" i="52"/>
  <c r="Z42" i="52"/>
  <c r="P42" i="52"/>
  <c r="X41" i="52"/>
  <c r="Q41" i="52"/>
  <c r="R41" i="52" s="1"/>
  <c r="Y41" i="52"/>
  <c r="Q50" i="52"/>
  <c r="W53" i="52"/>
  <c r="Y54" i="52"/>
  <c r="Z57" i="52"/>
  <c r="V57" i="52"/>
  <c r="J57" i="52"/>
  <c r="Z58" i="52"/>
  <c r="P58" i="52"/>
  <c r="X57" i="52"/>
  <c r="Q57" i="52"/>
  <c r="R57" i="52" s="1"/>
  <c r="Y57" i="52"/>
  <c r="Q66" i="52"/>
  <c r="W69" i="52"/>
  <c r="Y70" i="52"/>
  <c r="Z73" i="52"/>
  <c r="V73" i="52"/>
  <c r="J73" i="52"/>
  <c r="Z74" i="52"/>
  <c r="P74" i="52"/>
  <c r="X73" i="52"/>
  <c r="Q73" i="52"/>
  <c r="R73" i="52" s="1"/>
  <c r="Y73" i="52"/>
  <c r="Y39" i="52"/>
  <c r="Q40" i="52"/>
  <c r="P43" i="52"/>
  <c r="W43" i="52"/>
  <c r="J44" i="52"/>
  <c r="Y44" i="52"/>
  <c r="Y47" i="52"/>
  <c r="Q48" i="52"/>
  <c r="P51" i="52"/>
  <c r="W51" i="52"/>
  <c r="J52" i="52"/>
  <c r="Y52" i="52"/>
  <c r="Y55" i="52"/>
  <c r="Q56" i="52"/>
  <c r="P59" i="52"/>
  <c r="W59" i="52"/>
  <c r="J60" i="52"/>
  <c r="Y60" i="52"/>
  <c r="Y63" i="52"/>
  <c r="Q64" i="52"/>
  <c r="P67" i="52"/>
  <c r="W67" i="52"/>
  <c r="J68" i="52"/>
  <c r="Y68" i="52"/>
  <c r="Y71" i="52"/>
  <c r="Q72" i="52"/>
  <c r="P75" i="52"/>
  <c r="W75" i="52"/>
  <c r="J76" i="52"/>
  <c r="Y76" i="52"/>
  <c r="Y79" i="52"/>
  <c r="Q80" i="52"/>
  <c r="P39" i="52"/>
  <c r="W39" i="52"/>
  <c r="J40" i="52"/>
  <c r="Y43" i="52"/>
  <c r="P47" i="52"/>
  <c r="W47" i="52"/>
  <c r="J48" i="52"/>
  <c r="Y51" i="52"/>
  <c r="P55" i="52"/>
  <c r="W55" i="52"/>
  <c r="J56" i="52"/>
  <c r="Y59" i="52"/>
  <c r="P63" i="52"/>
  <c r="W63" i="52"/>
  <c r="J64" i="52"/>
  <c r="Y67" i="52"/>
  <c r="P71" i="52"/>
  <c r="W71" i="52"/>
  <c r="J72" i="52"/>
  <c r="Y75" i="52"/>
  <c r="P79" i="52"/>
  <c r="W79" i="52"/>
  <c r="J80" i="52"/>
  <c r="R12" i="52" l="1"/>
  <c r="H33" i="27"/>
  <c r="C36" i="53"/>
  <c r="H34" i="27"/>
  <c r="C37" i="53"/>
  <c r="C19" i="53"/>
  <c r="H16" i="27"/>
  <c r="C11" i="53"/>
  <c r="H8" i="27"/>
  <c r="H25" i="27"/>
  <c r="C28" i="53"/>
  <c r="H39" i="27"/>
  <c r="C42" i="53"/>
  <c r="D40" i="36"/>
  <c r="R70" i="52"/>
  <c r="H31" i="27"/>
  <c r="C34" i="53"/>
  <c r="D43" i="36"/>
  <c r="R76" i="52"/>
  <c r="D26" i="36"/>
  <c r="R42" i="52"/>
  <c r="D39" i="36"/>
  <c r="R68" i="52"/>
  <c r="C23" i="53"/>
  <c r="H20" i="27"/>
  <c r="H32" i="27"/>
  <c r="C35" i="53"/>
  <c r="H22" i="27"/>
  <c r="C25" i="53"/>
  <c r="D33" i="36"/>
  <c r="R56" i="52"/>
  <c r="H37" i="27"/>
  <c r="C40" i="53"/>
  <c r="H38" i="27"/>
  <c r="C41" i="53"/>
  <c r="D45" i="36"/>
  <c r="R80" i="52"/>
  <c r="D37" i="36"/>
  <c r="R64" i="52"/>
  <c r="D29" i="36"/>
  <c r="R48" i="52"/>
  <c r="H21" i="27"/>
  <c r="C24" i="53"/>
  <c r="C20" i="53"/>
  <c r="H17" i="27"/>
  <c r="C12" i="53"/>
  <c r="H9" i="27"/>
  <c r="H27" i="27"/>
  <c r="C30" i="53"/>
  <c r="C18" i="53"/>
  <c r="H15" i="27"/>
  <c r="C14" i="53"/>
  <c r="H11" i="27"/>
  <c r="H35" i="27"/>
  <c r="C38" i="53"/>
  <c r="C13" i="53"/>
  <c r="H10" i="27"/>
  <c r="H30" i="27"/>
  <c r="C33" i="53"/>
  <c r="D41" i="36"/>
  <c r="R72" i="52"/>
  <c r="D25" i="36"/>
  <c r="R40" i="52"/>
  <c r="D38" i="36"/>
  <c r="R66" i="52"/>
  <c r="C16" i="53"/>
  <c r="H13" i="27"/>
  <c r="H29" i="27"/>
  <c r="C32" i="53"/>
  <c r="D30" i="36"/>
  <c r="R50" i="52"/>
  <c r="C15" i="53"/>
  <c r="H12" i="27"/>
  <c r="H23" i="27"/>
  <c r="C26" i="53"/>
  <c r="D35" i="36"/>
  <c r="R60" i="52"/>
  <c r="H36" i="27"/>
  <c r="C39" i="53"/>
  <c r="C10" i="53"/>
  <c r="H7" i="27"/>
  <c r="C9" i="53"/>
  <c r="H6" i="27"/>
  <c r="Y16" i="52"/>
  <c r="Z16" i="52" s="1"/>
  <c r="R16" i="52"/>
  <c r="R15" i="52"/>
  <c r="R17" i="52"/>
  <c r="Y18" i="52"/>
  <c r="Z18" i="52" s="1"/>
  <c r="R18" i="52"/>
  <c r="R19" i="52"/>
  <c r="Y20" i="52"/>
  <c r="Z20" i="52" s="1"/>
  <c r="R20" i="52"/>
  <c r="R21" i="52"/>
  <c r="Y22" i="52"/>
  <c r="Z22" i="52" s="1"/>
  <c r="R22" i="52"/>
  <c r="R23" i="52"/>
  <c r="Y24" i="52"/>
  <c r="Z24" i="52" s="1"/>
  <c r="R24" i="52"/>
  <c r="Y26" i="52"/>
  <c r="Z26" i="52" s="1"/>
  <c r="R26" i="52"/>
  <c r="R28" i="52"/>
  <c r="R30" i="52"/>
  <c r="R29" i="52"/>
  <c r="R31" i="52"/>
  <c r="Y32" i="52"/>
  <c r="Z32" i="52" s="1"/>
  <c r="R32" i="52"/>
  <c r="Y34" i="52"/>
  <c r="Z34" i="52" s="1"/>
  <c r="R34" i="52"/>
  <c r="R33" i="52"/>
  <c r="R35" i="52"/>
  <c r="Y36" i="52"/>
  <c r="Z36" i="52" s="1"/>
  <c r="R36" i="52"/>
  <c r="R37" i="52"/>
  <c r="Y12" i="52"/>
  <c r="Z12" i="52" s="1"/>
  <c r="C22" i="53"/>
  <c r="Y38" i="52"/>
  <c r="Z38" i="52" s="1"/>
  <c r="Y37" i="52"/>
  <c r="Z37" i="52" s="1"/>
  <c r="Y35" i="52"/>
  <c r="Z35" i="52" s="1"/>
  <c r="Y33" i="52"/>
  <c r="Z33" i="52" s="1"/>
  <c r="Y31" i="52"/>
  <c r="Z31" i="52" s="1"/>
  <c r="Y30" i="52"/>
  <c r="Z30" i="52" s="1"/>
  <c r="Y29" i="52"/>
  <c r="Z29" i="52" s="1"/>
  <c r="C17" i="53"/>
  <c r="Y27" i="52"/>
  <c r="Z27" i="52" s="1"/>
  <c r="Y28" i="52"/>
  <c r="Z28" i="52" s="1"/>
  <c r="Y25" i="52"/>
  <c r="Z25" i="52" s="1"/>
  <c r="Y23" i="52"/>
  <c r="Z23" i="52" s="1"/>
  <c r="Y21" i="52"/>
  <c r="Z21" i="52" s="1"/>
  <c r="Y19" i="52"/>
  <c r="Z19" i="52" s="1"/>
  <c r="Y17" i="52"/>
  <c r="Z17" i="52" s="1"/>
  <c r="Y15" i="52"/>
  <c r="Z15" i="52" s="1"/>
  <c r="E50" i="27"/>
  <c r="R14" i="52"/>
  <c r="R13" i="52"/>
  <c r="Y14" i="52" l="1"/>
  <c r="Z14" i="52" s="1"/>
  <c r="Y13" i="52"/>
  <c r="Z13" i="52" s="1"/>
  <c r="G46" i="53"/>
  <c r="G53" i="53"/>
  <c r="G47" i="53"/>
  <c r="E51" i="53"/>
  <c r="E46" i="53"/>
  <c r="G51" i="53"/>
  <c r="G50" i="53"/>
  <c r="G49" i="53"/>
  <c r="E49" i="53"/>
  <c r="E47" i="53"/>
  <c r="E52" i="53"/>
  <c r="E53" i="53"/>
  <c r="E50" i="53"/>
  <c r="G48" i="53"/>
  <c r="D56" i="53"/>
  <c r="E48" i="53"/>
  <c r="G52" i="53"/>
  <c r="O19" i="27"/>
  <c r="Q19" i="27" s="1"/>
  <c r="O18" i="27"/>
  <c r="Q18" i="27" s="1"/>
  <c r="E64" i="27" s="1"/>
  <c r="O17" i="27"/>
  <c r="Q17" i="27" s="1"/>
  <c r="E63" i="27" s="1"/>
  <c r="O16" i="27"/>
  <c r="Q16" i="27" s="1"/>
  <c r="E62" i="27" s="1"/>
  <c r="O15" i="27"/>
  <c r="Q15" i="27" s="1"/>
  <c r="E61" i="27" s="1"/>
  <c r="O14" i="27"/>
  <c r="Q14" i="27" s="1"/>
  <c r="E60" i="27" s="1"/>
  <c r="O13" i="27"/>
  <c r="Q13" i="27" s="1"/>
  <c r="E59" i="27" s="1"/>
  <c r="O12" i="27"/>
  <c r="Q12" i="27" s="1"/>
  <c r="E58" i="27" s="1"/>
  <c r="O11" i="27"/>
  <c r="Q11" i="27" s="1"/>
  <c r="E57" i="27" s="1"/>
  <c r="O10" i="27"/>
  <c r="Q10" i="27" s="1"/>
  <c r="E56" i="27" s="1"/>
  <c r="O9" i="27"/>
  <c r="Q9" i="27" s="1"/>
  <c r="E55" i="27" s="1"/>
  <c r="O8" i="27"/>
  <c r="Q8" i="27" s="1"/>
  <c r="E54" i="27" s="1"/>
  <c r="O7" i="27"/>
  <c r="Q7" i="27" s="1"/>
  <c r="E53" i="27" s="1"/>
  <c r="O6" i="27"/>
  <c r="Q6" i="27" s="1"/>
  <c r="E52" i="27" s="1"/>
  <c r="O5" i="27"/>
  <c r="Q5" i="27" s="1"/>
  <c r="O4" i="27"/>
  <c r="Y11" i="52" l="1"/>
  <c r="Z11" i="52" s="1"/>
  <c r="E2" i="36"/>
  <c r="D1" i="53"/>
  <c r="B2" i="52"/>
  <c r="E51" i="27"/>
  <c r="F50" i="27" s="1"/>
  <c r="G2" i="49"/>
  <c r="G2" i="48"/>
  <c r="G2" i="47"/>
  <c r="G2" i="46"/>
  <c r="G2" i="45"/>
  <c r="G2" i="44"/>
  <c r="G2" i="43"/>
  <c r="G2" i="42"/>
  <c r="G2" i="41"/>
  <c r="G2" i="40"/>
  <c r="G2" i="39"/>
  <c r="G2" i="38"/>
  <c r="G2" i="37"/>
  <c r="G2" i="5"/>
  <c r="N1" i="51"/>
  <c r="F58" i="49"/>
  <c r="F57" i="49"/>
  <c r="D57" i="49"/>
  <c r="C58" i="49" s="1"/>
  <c r="B58" i="49" s="1"/>
  <c r="F56" i="49"/>
  <c r="F55" i="49"/>
  <c r="F54" i="49"/>
  <c r="F53" i="49"/>
  <c r="F52" i="49"/>
  <c r="F51" i="49"/>
  <c r="F50" i="49"/>
  <c r="F49" i="49"/>
  <c r="F48" i="49"/>
  <c r="F47" i="49"/>
  <c r="F46" i="49"/>
  <c r="F45" i="49"/>
  <c r="F44" i="49"/>
  <c r="F43" i="49"/>
  <c r="C43" i="49"/>
  <c r="B38" i="49"/>
  <c r="J38" i="49" s="1"/>
  <c r="G37" i="51"/>
  <c r="B37" i="49"/>
  <c r="J37" i="49" s="1"/>
  <c r="G36" i="51"/>
  <c r="B36" i="49"/>
  <c r="J36" i="49" s="1"/>
  <c r="G35" i="51"/>
  <c r="B35" i="49"/>
  <c r="J35" i="49" s="1"/>
  <c r="G34" i="51"/>
  <c r="B34" i="49"/>
  <c r="J34" i="49" s="1"/>
  <c r="G33" i="51"/>
  <c r="B33" i="49"/>
  <c r="J33" i="49" s="1"/>
  <c r="G32" i="51"/>
  <c r="B32" i="49"/>
  <c r="J32" i="49" s="1"/>
  <c r="G31" i="51"/>
  <c r="B31" i="49"/>
  <c r="J31" i="49" s="1"/>
  <c r="G30" i="51"/>
  <c r="B30" i="49"/>
  <c r="J30" i="49" s="1"/>
  <c r="G29" i="51"/>
  <c r="B29" i="49"/>
  <c r="J29" i="49" s="1"/>
  <c r="G28" i="51"/>
  <c r="B28" i="49"/>
  <c r="J28" i="49" s="1"/>
  <c r="G27" i="51"/>
  <c r="B27" i="49"/>
  <c r="J27" i="49" s="1"/>
  <c r="G26" i="51"/>
  <c r="B26" i="49"/>
  <c r="J26" i="49" s="1"/>
  <c r="G25" i="49"/>
  <c r="G25" i="51"/>
  <c r="B25" i="49"/>
  <c r="J25" i="49" s="1"/>
  <c r="G24" i="51"/>
  <c r="B24" i="49"/>
  <c r="J24" i="49" s="1"/>
  <c r="G23" i="51"/>
  <c r="B23" i="49"/>
  <c r="J23" i="49" s="1"/>
  <c r="G22" i="51"/>
  <c r="B22" i="49"/>
  <c r="J22" i="49" s="1"/>
  <c r="G21" i="51"/>
  <c r="B21" i="49"/>
  <c r="J21" i="49" s="1"/>
  <c r="G20" i="51"/>
  <c r="B20" i="49"/>
  <c r="J20" i="49" s="1"/>
  <c r="Q19" i="49"/>
  <c r="G19" i="51"/>
  <c r="B19" i="49"/>
  <c r="J19" i="49" s="1"/>
  <c r="O18" i="49"/>
  <c r="Q18" i="49" s="1"/>
  <c r="C57" i="49" s="1"/>
  <c r="G18" i="51"/>
  <c r="B18" i="49"/>
  <c r="J18" i="49" s="1"/>
  <c r="O17" i="49"/>
  <c r="Q17" i="49" s="1"/>
  <c r="C56" i="49" s="1"/>
  <c r="G17" i="51"/>
  <c r="B17" i="49"/>
  <c r="J17" i="49" s="1"/>
  <c r="O16" i="49"/>
  <c r="Q16" i="49" s="1"/>
  <c r="C55" i="49" s="1"/>
  <c r="G16" i="51"/>
  <c r="B16" i="49"/>
  <c r="J16" i="49" s="1"/>
  <c r="O15" i="49"/>
  <c r="Q15" i="49" s="1"/>
  <c r="C54" i="49" s="1"/>
  <c r="G15" i="51"/>
  <c r="B15" i="49"/>
  <c r="J15" i="49" s="1"/>
  <c r="O14" i="49"/>
  <c r="Q14" i="49" s="1"/>
  <c r="C53" i="49" s="1"/>
  <c r="G14" i="51"/>
  <c r="B14" i="49"/>
  <c r="J14" i="49" s="1"/>
  <c r="O13" i="49"/>
  <c r="Q13" i="49" s="1"/>
  <c r="C52" i="49" s="1"/>
  <c r="G13" i="51"/>
  <c r="B13" i="49"/>
  <c r="J13" i="49" s="1"/>
  <c r="O12" i="49"/>
  <c r="Q12" i="49" s="1"/>
  <c r="C51" i="49" s="1"/>
  <c r="G12" i="51"/>
  <c r="B12" i="49"/>
  <c r="J12" i="49" s="1"/>
  <c r="O11" i="49"/>
  <c r="Q11" i="49" s="1"/>
  <c r="C50" i="49" s="1"/>
  <c r="G11" i="51"/>
  <c r="B11" i="49"/>
  <c r="J11" i="49" s="1"/>
  <c r="O10" i="49"/>
  <c r="Q10" i="49" s="1"/>
  <c r="C49" i="49" s="1"/>
  <c r="G10" i="51"/>
  <c r="B10" i="49"/>
  <c r="J10" i="49" s="1"/>
  <c r="O9" i="49"/>
  <c r="Q9" i="49" s="1"/>
  <c r="C48" i="49" s="1"/>
  <c r="G9" i="51"/>
  <c r="B9" i="49"/>
  <c r="J9" i="49" s="1"/>
  <c r="O8" i="49"/>
  <c r="Q8" i="49" s="1"/>
  <c r="C47" i="49" s="1"/>
  <c r="G8" i="51"/>
  <c r="B8" i="49"/>
  <c r="J8" i="49" s="1"/>
  <c r="O7" i="49"/>
  <c r="Q7" i="49" s="1"/>
  <c r="C46" i="49" s="1"/>
  <c r="G7" i="51"/>
  <c r="B7" i="49"/>
  <c r="J7" i="49" s="1"/>
  <c r="O6" i="49"/>
  <c r="Q6" i="49" s="1"/>
  <c r="C45" i="49" s="1"/>
  <c r="G6" i="51"/>
  <c r="B6" i="49"/>
  <c r="J6" i="49" s="1"/>
  <c r="O5" i="49"/>
  <c r="Q5" i="49" s="1"/>
  <c r="C44" i="49" s="1"/>
  <c r="G5" i="51"/>
  <c r="B5" i="49"/>
  <c r="J5" i="49" s="1"/>
  <c r="O4" i="49"/>
  <c r="G4" i="51"/>
  <c r="B4" i="49"/>
  <c r="J4" i="49" s="1"/>
  <c r="C2" i="49"/>
  <c r="C1" i="49"/>
  <c r="F58" i="48"/>
  <c r="F57" i="48"/>
  <c r="D57" i="48"/>
  <c r="C58" i="48" s="1"/>
  <c r="B58" i="48" s="1"/>
  <c r="F56" i="48"/>
  <c r="F55" i="48"/>
  <c r="F54" i="48"/>
  <c r="F53" i="48"/>
  <c r="F52" i="48"/>
  <c r="F51" i="48"/>
  <c r="F50" i="48"/>
  <c r="F49" i="48"/>
  <c r="F48" i="48"/>
  <c r="F47" i="48"/>
  <c r="F46" i="48"/>
  <c r="F45" i="48"/>
  <c r="F44" i="48"/>
  <c r="F43" i="48"/>
  <c r="C43" i="48"/>
  <c r="F38" i="51"/>
  <c r="B38" i="48"/>
  <c r="J38" i="48" s="1"/>
  <c r="F37" i="51"/>
  <c r="B37" i="48"/>
  <c r="J37" i="48" s="1"/>
  <c r="F36" i="51"/>
  <c r="B36" i="48"/>
  <c r="J36" i="48" s="1"/>
  <c r="F35" i="51"/>
  <c r="B35" i="48"/>
  <c r="J35" i="48" s="1"/>
  <c r="F34" i="51"/>
  <c r="B34" i="48"/>
  <c r="J34" i="48" s="1"/>
  <c r="F33" i="51"/>
  <c r="B33" i="48"/>
  <c r="J33" i="48" s="1"/>
  <c r="F32" i="51"/>
  <c r="B32" i="48"/>
  <c r="J32" i="48" s="1"/>
  <c r="F31" i="51"/>
  <c r="B31" i="48"/>
  <c r="J31" i="48" s="1"/>
  <c r="F30" i="51"/>
  <c r="B30" i="48"/>
  <c r="J30" i="48" s="1"/>
  <c r="F29" i="51"/>
  <c r="B29" i="48"/>
  <c r="J29" i="48" s="1"/>
  <c r="F28" i="51"/>
  <c r="B28" i="48"/>
  <c r="J28" i="48" s="1"/>
  <c r="F27" i="51"/>
  <c r="B27" i="48"/>
  <c r="J27" i="48" s="1"/>
  <c r="F26" i="51"/>
  <c r="B26" i="48"/>
  <c r="J26" i="48" s="1"/>
  <c r="G25" i="48"/>
  <c r="F25" i="51"/>
  <c r="B25" i="48"/>
  <c r="J25" i="48" s="1"/>
  <c r="F24" i="51"/>
  <c r="B24" i="48"/>
  <c r="J24" i="48" s="1"/>
  <c r="F23" i="51"/>
  <c r="B23" i="48"/>
  <c r="J23" i="48" s="1"/>
  <c r="F22" i="51"/>
  <c r="B22" i="48"/>
  <c r="J22" i="48" s="1"/>
  <c r="F21" i="51"/>
  <c r="B21" i="48"/>
  <c r="J21" i="48" s="1"/>
  <c r="F20" i="51"/>
  <c r="B20" i="48"/>
  <c r="J20" i="48" s="1"/>
  <c r="Q19" i="48"/>
  <c r="F19" i="51"/>
  <c r="B19" i="48"/>
  <c r="J19" i="48" s="1"/>
  <c r="Q18" i="48"/>
  <c r="C57" i="48" s="1"/>
  <c r="O18" i="48"/>
  <c r="F18" i="51"/>
  <c r="B18" i="48"/>
  <c r="J18" i="48" s="1"/>
  <c r="O17" i="48"/>
  <c r="Q17" i="48" s="1"/>
  <c r="C56" i="48" s="1"/>
  <c r="F17" i="51"/>
  <c r="B17" i="48"/>
  <c r="J17" i="48" s="1"/>
  <c r="O16" i="48"/>
  <c r="Q16" i="48" s="1"/>
  <c r="C55" i="48" s="1"/>
  <c r="F16" i="51"/>
  <c r="B16" i="48"/>
  <c r="J16" i="48" s="1"/>
  <c r="O15" i="48"/>
  <c r="Q15" i="48" s="1"/>
  <c r="C54" i="48" s="1"/>
  <c r="F15" i="51"/>
  <c r="B15" i="48"/>
  <c r="J15" i="48" s="1"/>
  <c r="O14" i="48"/>
  <c r="Q14" i="48" s="1"/>
  <c r="C53" i="48" s="1"/>
  <c r="F14" i="51"/>
  <c r="B14" i="48"/>
  <c r="J14" i="48" s="1"/>
  <c r="Q13" i="48"/>
  <c r="C52" i="48" s="1"/>
  <c r="O13" i="48"/>
  <c r="F13" i="51"/>
  <c r="B13" i="48"/>
  <c r="J13" i="48" s="1"/>
  <c r="Q12" i="48"/>
  <c r="C51" i="48" s="1"/>
  <c r="O12" i="48"/>
  <c r="F12" i="51"/>
  <c r="B12" i="48"/>
  <c r="J12" i="48" s="1"/>
  <c r="O11" i="48"/>
  <c r="Q11" i="48" s="1"/>
  <c r="C50" i="48" s="1"/>
  <c r="F11" i="51"/>
  <c r="B11" i="48"/>
  <c r="J11" i="48" s="1"/>
  <c r="O10" i="48"/>
  <c r="Q10" i="48" s="1"/>
  <c r="C49" i="48" s="1"/>
  <c r="F10" i="51"/>
  <c r="B10" i="48"/>
  <c r="J10" i="48" s="1"/>
  <c r="O9" i="48"/>
  <c r="Q9" i="48" s="1"/>
  <c r="C48" i="48" s="1"/>
  <c r="F9" i="51"/>
  <c r="B9" i="48"/>
  <c r="J9" i="48" s="1"/>
  <c r="O8" i="48"/>
  <c r="Q8" i="48" s="1"/>
  <c r="C47" i="48" s="1"/>
  <c r="F8" i="51"/>
  <c r="B8" i="48"/>
  <c r="J8" i="48" s="1"/>
  <c r="Q7" i="48"/>
  <c r="C46" i="48" s="1"/>
  <c r="O7" i="48"/>
  <c r="F7" i="51"/>
  <c r="B7" i="48"/>
  <c r="J7" i="48" s="1"/>
  <c r="Q6" i="48"/>
  <c r="C45" i="48" s="1"/>
  <c r="O6" i="48"/>
  <c r="F6" i="51"/>
  <c r="B6" i="48"/>
  <c r="J6" i="48" s="1"/>
  <c r="Q5" i="48"/>
  <c r="C44" i="48" s="1"/>
  <c r="O5" i="48"/>
  <c r="F5" i="51"/>
  <c r="B5" i="48"/>
  <c r="J5" i="48" s="1"/>
  <c r="O4" i="48"/>
  <c r="B4" i="48"/>
  <c r="J4" i="48" s="1"/>
  <c r="C2" i="48"/>
  <c r="C1" i="48"/>
  <c r="F58" i="47"/>
  <c r="F57" i="47"/>
  <c r="D57" i="47"/>
  <c r="C58" i="47" s="1"/>
  <c r="B58" i="47" s="1"/>
  <c r="F56" i="47"/>
  <c r="F55" i="47"/>
  <c r="F54" i="47"/>
  <c r="F53" i="47"/>
  <c r="F52" i="47"/>
  <c r="F51" i="47"/>
  <c r="F50" i="47"/>
  <c r="F49" i="47"/>
  <c r="F48" i="47"/>
  <c r="F47" i="47"/>
  <c r="F46" i="47"/>
  <c r="F45" i="47"/>
  <c r="F44" i="47"/>
  <c r="F43" i="47"/>
  <c r="C43" i="47"/>
  <c r="E38" i="51"/>
  <c r="B38" i="47"/>
  <c r="J38" i="47" s="1"/>
  <c r="E37" i="51"/>
  <c r="B37" i="47"/>
  <c r="J37" i="47" s="1"/>
  <c r="E36" i="51"/>
  <c r="B36" i="47"/>
  <c r="J36" i="47" s="1"/>
  <c r="E35" i="51"/>
  <c r="B35" i="47"/>
  <c r="J35" i="47" s="1"/>
  <c r="E34" i="51"/>
  <c r="B34" i="47"/>
  <c r="J34" i="47" s="1"/>
  <c r="E33" i="51"/>
  <c r="B33" i="47"/>
  <c r="J33" i="47" s="1"/>
  <c r="E32" i="51"/>
  <c r="B32" i="47"/>
  <c r="J32" i="47" s="1"/>
  <c r="E31" i="51"/>
  <c r="B31" i="47"/>
  <c r="J31" i="47" s="1"/>
  <c r="E30" i="51"/>
  <c r="B30" i="47"/>
  <c r="J30" i="47" s="1"/>
  <c r="E29" i="51"/>
  <c r="B29" i="47"/>
  <c r="J29" i="47" s="1"/>
  <c r="E28" i="51"/>
  <c r="B28" i="47"/>
  <c r="J28" i="47" s="1"/>
  <c r="E27" i="51"/>
  <c r="B27" i="47"/>
  <c r="J27" i="47" s="1"/>
  <c r="E26" i="51"/>
  <c r="B26" i="47"/>
  <c r="J26" i="47" s="1"/>
  <c r="G25" i="47"/>
  <c r="E25" i="51"/>
  <c r="B25" i="47"/>
  <c r="J25" i="47" s="1"/>
  <c r="E24" i="51"/>
  <c r="B24" i="47"/>
  <c r="J24" i="47" s="1"/>
  <c r="E23" i="51"/>
  <c r="B23" i="47"/>
  <c r="J23" i="47" s="1"/>
  <c r="E22" i="51"/>
  <c r="B22" i="47"/>
  <c r="J22" i="47" s="1"/>
  <c r="E21" i="51"/>
  <c r="B21" i="47"/>
  <c r="J21" i="47" s="1"/>
  <c r="E20" i="51"/>
  <c r="B20" i="47"/>
  <c r="J20" i="47" s="1"/>
  <c r="Q19" i="47"/>
  <c r="E19" i="51"/>
  <c r="B19" i="47"/>
  <c r="J19" i="47" s="1"/>
  <c r="O18" i="47"/>
  <c r="Q18" i="47" s="1"/>
  <c r="C57" i="47" s="1"/>
  <c r="E18" i="51"/>
  <c r="B18" i="47"/>
  <c r="J18" i="47" s="1"/>
  <c r="Q17" i="47"/>
  <c r="C56" i="47" s="1"/>
  <c r="D55" i="47" s="1"/>
  <c r="O17" i="47"/>
  <c r="E17" i="51"/>
  <c r="B17" i="47"/>
  <c r="J17" i="47" s="1"/>
  <c r="O16" i="47"/>
  <c r="Q16" i="47" s="1"/>
  <c r="C55" i="47" s="1"/>
  <c r="E16" i="51"/>
  <c r="B16" i="47"/>
  <c r="J16" i="47" s="1"/>
  <c r="O15" i="47"/>
  <c r="Q15" i="47" s="1"/>
  <c r="C54" i="47" s="1"/>
  <c r="E15" i="51"/>
  <c r="B15" i="47"/>
  <c r="J15" i="47" s="1"/>
  <c r="Q14" i="47"/>
  <c r="C53" i="47" s="1"/>
  <c r="O14" i="47"/>
  <c r="E14" i="51"/>
  <c r="B14" i="47"/>
  <c r="J14" i="47" s="1"/>
  <c r="Q13" i="47"/>
  <c r="C52" i="47" s="1"/>
  <c r="O13" i="47"/>
  <c r="E13" i="51"/>
  <c r="B13" i="47"/>
  <c r="J13" i="47" s="1"/>
  <c r="Q12" i="47"/>
  <c r="C51" i="47" s="1"/>
  <c r="O12" i="47"/>
  <c r="E12" i="51"/>
  <c r="B12" i="47"/>
  <c r="J12" i="47" s="1"/>
  <c r="Q11" i="47"/>
  <c r="C50" i="47" s="1"/>
  <c r="O11" i="47"/>
  <c r="E11" i="51"/>
  <c r="B11" i="47"/>
  <c r="J11" i="47" s="1"/>
  <c r="O10" i="47"/>
  <c r="Q10" i="47" s="1"/>
  <c r="C49" i="47" s="1"/>
  <c r="E10" i="51"/>
  <c r="B10" i="47"/>
  <c r="J10" i="47" s="1"/>
  <c r="O9" i="47"/>
  <c r="Q9" i="47" s="1"/>
  <c r="C48" i="47" s="1"/>
  <c r="E9" i="51"/>
  <c r="B9" i="47"/>
  <c r="J9" i="47" s="1"/>
  <c r="O8" i="47"/>
  <c r="Q8" i="47" s="1"/>
  <c r="C47" i="47" s="1"/>
  <c r="E8" i="51"/>
  <c r="B8" i="47"/>
  <c r="J8" i="47" s="1"/>
  <c r="O7" i="47"/>
  <c r="Q7" i="47" s="1"/>
  <c r="C46" i="47" s="1"/>
  <c r="E7" i="51"/>
  <c r="B7" i="47"/>
  <c r="J7" i="47" s="1"/>
  <c r="O6" i="47"/>
  <c r="Q6" i="47" s="1"/>
  <c r="C45" i="47" s="1"/>
  <c r="E6" i="51"/>
  <c r="B6" i="47"/>
  <c r="J6" i="47" s="1"/>
  <c r="O5" i="47"/>
  <c r="Q5" i="47" s="1"/>
  <c r="C44" i="47" s="1"/>
  <c r="E5" i="51"/>
  <c r="B5" i="47"/>
  <c r="J5" i="47" s="1"/>
  <c r="O4" i="47"/>
  <c r="B4" i="47"/>
  <c r="J4" i="47" s="1"/>
  <c r="C2" i="47"/>
  <c r="C1" i="47"/>
  <c r="F58" i="46"/>
  <c r="F57" i="46"/>
  <c r="D57" i="46"/>
  <c r="C58" i="46" s="1"/>
  <c r="B58" i="46" s="1"/>
  <c r="F56" i="46"/>
  <c r="F55" i="46"/>
  <c r="F54" i="46"/>
  <c r="F53" i="46"/>
  <c r="F52" i="46"/>
  <c r="F51" i="46"/>
  <c r="F50" i="46"/>
  <c r="F49" i="46"/>
  <c r="F48" i="46"/>
  <c r="F47" i="46"/>
  <c r="F46" i="46"/>
  <c r="F45" i="46"/>
  <c r="F44" i="46"/>
  <c r="F43" i="46"/>
  <c r="C43" i="46"/>
  <c r="D38" i="51"/>
  <c r="B38" i="46"/>
  <c r="J38" i="46" s="1"/>
  <c r="D37" i="51"/>
  <c r="B37" i="46"/>
  <c r="J37" i="46" s="1"/>
  <c r="D36" i="51"/>
  <c r="B36" i="46"/>
  <c r="J36" i="46" s="1"/>
  <c r="D35" i="51"/>
  <c r="B35" i="46"/>
  <c r="J35" i="46" s="1"/>
  <c r="D34" i="51"/>
  <c r="B34" i="46"/>
  <c r="J34" i="46" s="1"/>
  <c r="D33" i="51"/>
  <c r="B33" i="46"/>
  <c r="J33" i="46" s="1"/>
  <c r="D32" i="51"/>
  <c r="B32" i="46"/>
  <c r="J32" i="46" s="1"/>
  <c r="D31" i="51"/>
  <c r="B31" i="46"/>
  <c r="J31" i="46" s="1"/>
  <c r="D30" i="51"/>
  <c r="B30" i="46"/>
  <c r="J30" i="46" s="1"/>
  <c r="D29" i="51"/>
  <c r="B29" i="46"/>
  <c r="J29" i="46" s="1"/>
  <c r="D28" i="51"/>
  <c r="B28" i="46"/>
  <c r="J28" i="46" s="1"/>
  <c r="D27" i="51"/>
  <c r="B27" i="46"/>
  <c r="J27" i="46" s="1"/>
  <c r="D26" i="51"/>
  <c r="B26" i="46"/>
  <c r="J26" i="46" s="1"/>
  <c r="G25" i="46"/>
  <c r="D25" i="51"/>
  <c r="B25" i="46"/>
  <c r="J25" i="46" s="1"/>
  <c r="D24" i="51"/>
  <c r="B24" i="46"/>
  <c r="J24" i="46" s="1"/>
  <c r="D23" i="51"/>
  <c r="B23" i="46"/>
  <c r="J23" i="46" s="1"/>
  <c r="D22" i="51"/>
  <c r="B22" i="46"/>
  <c r="J22" i="46" s="1"/>
  <c r="D21" i="51"/>
  <c r="B21" i="46"/>
  <c r="J21" i="46" s="1"/>
  <c r="D20" i="51"/>
  <c r="B20" i="46"/>
  <c r="J20" i="46" s="1"/>
  <c r="Q19" i="46"/>
  <c r="D19" i="51"/>
  <c r="B19" i="46"/>
  <c r="J19" i="46" s="1"/>
  <c r="O18" i="46"/>
  <c r="Q18" i="46" s="1"/>
  <c r="C57" i="46" s="1"/>
  <c r="D18" i="51"/>
  <c r="B18" i="46"/>
  <c r="J18" i="46" s="1"/>
  <c r="O17" i="46"/>
  <c r="Q17" i="46" s="1"/>
  <c r="C56" i="46" s="1"/>
  <c r="D17" i="51"/>
  <c r="B17" i="46"/>
  <c r="J17" i="46" s="1"/>
  <c r="O16" i="46"/>
  <c r="Q16" i="46" s="1"/>
  <c r="C55" i="46" s="1"/>
  <c r="D16" i="51"/>
  <c r="B16" i="46"/>
  <c r="J16" i="46" s="1"/>
  <c r="O15" i="46"/>
  <c r="Q15" i="46" s="1"/>
  <c r="C54" i="46" s="1"/>
  <c r="D15" i="51"/>
  <c r="B15" i="46"/>
  <c r="J15" i="46" s="1"/>
  <c r="O14" i="46"/>
  <c r="Q14" i="46" s="1"/>
  <c r="C53" i="46" s="1"/>
  <c r="D14" i="51"/>
  <c r="B14" i="46"/>
  <c r="J14" i="46" s="1"/>
  <c r="O13" i="46"/>
  <c r="Q13" i="46" s="1"/>
  <c r="C52" i="46" s="1"/>
  <c r="D13" i="51"/>
  <c r="B13" i="46"/>
  <c r="J13" i="46" s="1"/>
  <c r="O12" i="46"/>
  <c r="Q12" i="46" s="1"/>
  <c r="C51" i="46" s="1"/>
  <c r="D12" i="51"/>
  <c r="B12" i="46"/>
  <c r="J12" i="46" s="1"/>
  <c r="O11" i="46"/>
  <c r="Q11" i="46" s="1"/>
  <c r="C50" i="46" s="1"/>
  <c r="D11" i="51"/>
  <c r="B11" i="46"/>
  <c r="J11" i="46" s="1"/>
  <c r="O10" i="46"/>
  <c r="Q10" i="46" s="1"/>
  <c r="C49" i="46" s="1"/>
  <c r="D48" i="46" s="1"/>
  <c r="D10" i="51"/>
  <c r="B10" i="46"/>
  <c r="J10" i="46" s="1"/>
  <c r="O9" i="46"/>
  <c r="Q9" i="46" s="1"/>
  <c r="C48" i="46" s="1"/>
  <c r="D9" i="51"/>
  <c r="B9" i="46"/>
  <c r="J9" i="46" s="1"/>
  <c r="O8" i="46"/>
  <c r="Q8" i="46" s="1"/>
  <c r="C47" i="46" s="1"/>
  <c r="D8" i="51"/>
  <c r="B8" i="46"/>
  <c r="J8" i="46" s="1"/>
  <c r="O7" i="46"/>
  <c r="Q7" i="46" s="1"/>
  <c r="C46" i="46" s="1"/>
  <c r="D7" i="51"/>
  <c r="B7" i="46"/>
  <c r="J7" i="46" s="1"/>
  <c r="O6" i="46"/>
  <c r="Q6" i="46" s="1"/>
  <c r="C45" i="46" s="1"/>
  <c r="D6" i="51"/>
  <c r="B6" i="46"/>
  <c r="J6" i="46" s="1"/>
  <c r="O5" i="46"/>
  <c r="Q5" i="46" s="1"/>
  <c r="C44" i="46" s="1"/>
  <c r="D5" i="51"/>
  <c r="B5" i="46"/>
  <c r="J5" i="46" s="1"/>
  <c r="O4" i="46"/>
  <c r="D4" i="51"/>
  <c r="B4" i="46"/>
  <c r="J4" i="46" s="1"/>
  <c r="C2" i="46"/>
  <c r="C1" i="46"/>
  <c r="F58" i="45"/>
  <c r="F57" i="45"/>
  <c r="D57" i="45"/>
  <c r="C58" i="45" s="1"/>
  <c r="B58" i="45" s="1"/>
  <c r="F56" i="45"/>
  <c r="F55" i="45"/>
  <c r="F54" i="45"/>
  <c r="F53" i="45"/>
  <c r="F52" i="45"/>
  <c r="F51" i="45"/>
  <c r="F50" i="45"/>
  <c r="F49" i="45"/>
  <c r="F48" i="45"/>
  <c r="F47" i="45"/>
  <c r="F46" i="45"/>
  <c r="F45" i="45"/>
  <c r="F44" i="45"/>
  <c r="F43" i="45"/>
  <c r="C43" i="45"/>
  <c r="C38" i="51"/>
  <c r="B38" i="45"/>
  <c r="J38" i="45" s="1"/>
  <c r="C37" i="51"/>
  <c r="B37" i="45"/>
  <c r="J37" i="45" s="1"/>
  <c r="C36" i="51"/>
  <c r="B36" i="45"/>
  <c r="J36" i="45" s="1"/>
  <c r="C35" i="51"/>
  <c r="B35" i="45"/>
  <c r="J35" i="45" s="1"/>
  <c r="C34" i="51"/>
  <c r="B34" i="45"/>
  <c r="J34" i="45" s="1"/>
  <c r="C33" i="51"/>
  <c r="B33" i="45"/>
  <c r="J33" i="45" s="1"/>
  <c r="C32" i="51"/>
  <c r="B32" i="45"/>
  <c r="J32" i="45" s="1"/>
  <c r="C31" i="51"/>
  <c r="B31" i="45"/>
  <c r="J31" i="45" s="1"/>
  <c r="C30" i="51"/>
  <c r="B30" i="45"/>
  <c r="J30" i="45" s="1"/>
  <c r="C29" i="51"/>
  <c r="B29" i="45"/>
  <c r="J29" i="45" s="1"/>
  <c r="C28" i="51"/>
  <c r="B28" i="45"/>
  <c r="J28" i="45" s="1"/>
  <c r="C27" i="51"/>
  <c r="B27" i="45"/>
  <c r="J27" i="45" s="1"/>
  <c r="C26" i="51"/>
  <c r="B26" i="45"/>
  <c r="J26" i="45" s="1"/>
  <c r="G25" i="45"/>
  <c r="C25" i="51"/>
  <c r="B25" i="45"/>
  <c r="J25" i="45" s="1"/>
  <c r="C24" i="51"/>
  <c r="B24" i="45"/>
  <c r="J24" i="45" s="1"/>
  <c r="C23" i="51"/>
  <c r="B23" i="45"/>
  <c r="J23" i="45" s="1"/>
  <c r="C22" i="51"/>
  <c r="B22" i="45"/>
  <c r="J22" i="45" s="1"/>
  <c r="C21" i="51"/>
  <c r="B21" i="45"/>
  <c r="J21" i="45" s="1"/>
  <c r="C20" i="51"/>
  <c r="B20" i="45"/>
  <c r="J20" i="45" s="1"/>
  <c r="Q19" i="45"/>
  <c r="C19" i="51"/>
  <c r="B19" i="45"/>
  <c r="J19" i="45" s="1"/>
  <c r="O18" i="45"/>
  <c r="Q18" i="45" s="1"/>
  <c r="C57" i="45" s="1"/>
  <c r="B57" i="45" s="1"/>
  <c r="C18" i="51"/>
  <c r="B18" i="45"/>
  <c r="J18" i="45" s="1"/>
  <c r="Q17" i="45"/>
  <c r="C56" i="45" s="1"/>
  <c r="D55" i="45" s="1"/>
  <c r="O17" i="45"/>
  <c r="C17" i="51"/>
  <c r="B17" i="45"/>
  <c r="J17" i="45" s="1"/>
  <c r="O16" i="45"/>
  <c r="Q16" i="45" s="1"/>
  <c r="C55" i="45" s="1"/>
  <c r="D54" i="45" s="1"/>
  <c r="C16" i="51"/>
  <c r="B16" i="45"/>
  <c r="J16" i="45" s="1"/>
  <c r="O15" i="45"/>
  <c r="Q15" i="45" s="1"/>
  <c r="C54" i="45" s="1"/>
  <c r="D53" i="45" s="1"/>
  <c r="C15" i="51"/>
  <c r="B15" i="45"/>
  <c r="J15" i="45" s="1"/>
  <c r="O14" i="45"/>
  <c r="Q14" i="45" s="1"/>
  <c r="C53" i="45" s="1"/>
  <c r="C14" i="51"/>
  <c r="B14" i="45"/>
  <c r="J14" i="45" s="1"/>
  <c r="O13" i="45"/>
  <c r="Q13" i="45" s="1"/>
  <c r="C52" i="45" s="1"/>
  <c r="D51" i="45" s="1"/>
  <c r="C13" i="51"/>
  <c r="B13" i="45"/>
  <c r="J13" i="45" s="1"/>
  <c r="O12" i="45"/>
  <c r="Q12" i="45" s="1"/>
  <c r="C51" i="45" s="1"/>
  <c r="D50" i="45" s="1"/>
  <c r="C12" i="51"/>
  <c r="B12" i="45"/>
  <c r="J12" i="45" s="1"/>
  <c r="O11" i="45"/>
  <c r="Q11" i="45" s="1"/>
  <c r="C50" i="45" s="1"/>
  <c r="D49" i="45" s="1"/>
  <c r="C11" i="51"/>
  <c r="B11" i="45"/>
  <c r="J11" i="45" s="1"/>
  <c r="O10" i="45"/>
  <c r="Q10" i="45" s="1"/>
  <c r="C49" i="45" s="1"/>
  <c r="C10" i="51"/>
  <c r="B10" i="45"/>
  <c r="J10" i="45" s="1"/>
  <c r="O9" i="45"/>
  <c r="Q9" i="45" s="1"/>
  <c r="C48" i="45" s="1"/>
  <c r="D47" i="45" s="1"/>
  <c r="C9" i="51"/>
  <c r="B9" i="45"/>
  <c r="J9" i="45" s="1"/>
  <c r="O8" i="45"/>
  <c r="Q8" i="45" s="1"/>
  <c r="C47" i="45" s="1"/>
  <c r="D46" i="45" s="1"/>
  <c r="C8" i="51"/>
  <c r="B8" i="45"/>
  <c r="J8" i="45" s="1"/>
  <c r="O7" i="45"/>
  <c r="Q7" i="45" s="1"/>
  <c r="C46" i="45" s="1"/>
  <c r="D45" i="45" s="1"/>
  <c r="C7" i="51"/>
  <c r="B7" i="45"/>
  <c r="J7" i="45" s="1"/>
  <c r="O6" i="45"/>
  <c r="Q6" i="45" s="1"/>
  <c r="C45" i="45" s="1"/>
  <c r="C6" i="51"/>
  <c r="B6" i="45"/>
  <c r="J6" i="45" s="1"/>
  <c r="O5" i="45"/>
  <c r="Q5" i="45" s="1"/>
  <c r="C44" i="45" s="1"/>
  <c r="D43" i="45" s="1"/>
  <c r="B43" i="45" s="1"/>
  <c r="C5" i="51"/>
  <c r="B5" i="45"/>
  <c r="J5" i="45" s="1"/>
  <c r="O4" i="45"/>
  <c r="C4" i="51"/>
  <c r="B4" i="45"/>
  <c r="J4" i="45" s="1"/>
  <c r="C2" i="45"/>
  <c r="C1" i="45"/>
  <c r="F58" i="44"/>
  <c r="F57" i="44"/>
  <c r="D57" i="44"/>
  <c r="C58" i="44" s="1"/>
  <c r="B58" i="44" s="1"/>
  <c r="F56" i="44"/>
  <c r="F55" i="44"/>
  <c r="F54" i="44"/>
  <c r="F53" i="44"/>
  <c r="F52" i="44"/>
  <c r="F51" i="44"/>
  <c r="F50" i="44"/>
  <c r="F49" i="44"/>
  <c r="F48" i="44"/>
  <c r="F47" i="44"/>
  <c r="F46" i="44"/>
  <c r="F45" i="44"/>
  <c r="F44" i="44"/>
  <c r="F43" i="44"/>
  <c r="C43" i="44"/>
  <c r="M38" i="51"/>
  <c r="B38" i="44"/>
  <c r="J38" i="44" s="1"/>
  <c r="M37" i="51"/>
  <c r="B37" i="44"/>
  <c r="J37" i="44" s="1"/>
  <c r="M36" i="51"/>
  <c r="B36" i="44"/>
  <c r="J36" i="44" s="1"/>
  <c r="M35" i="51"/>
  <c r="B35" i="44"/>
  <c r="J35" i="44" s="1"/>
  <c r="M34" i="51"/>
  <c r="B34" i="44"/>
  <c r="J34" i="44" s="1"/>
  <c r="M33" i="51"/>
  <c r="B33" i="44"/>
  <c r="J33" i="44" s="1"/>
  <c r="M32" i="51"/>
  <c r="B32" i="44"/>
  <c r="J32" i="44" s="1"/>
  <c r="M31" i="51"/>
  <c r="B31" i="44"/>
  <c r="J31" i="44" s="1"/>
  <c r="M30" i="51"/>
  <c r="B30" i="44"/>
  <c r="J30" i="44" s="1"/>
  <c r="M29" i="51"/>
  <c r="B29" i="44"/>
  <c r="J29" i="44" s="1"/>
  <c r="M28" i="51"/>
  <c r="B28" i="44"/>
  <c r="J28" i="44" s="1"/>
  <c r="M27" i="51"/>
  <c r="B27" i="44"/>
  <c r="J27" i="44" s="1"/>
  <c r="M26" i="51"/>
  <c r="B26" i="44"/>
  <c r="J26" i="44" s="1"/>
  <c r="G25" i="44"/>
  <c r="M25" i="51"/>
  <c r="B25" i="44"/>
  <c r="J25" i="44" s="1"/>
  <c r="M24" i="51"/>
  <c r="B24" i="44"/>
  <c r="J24" i="44" s="1"/>
  <c r="M23" i="51"/>
  <c r="B23" i="44"/>
  <c r="J23" i="44" s="1"/>
  <c r="M22" i="51"/>
  <c r="B22" i="44"/>
  <c r="J22" i="44" s="1"/>
  <c r="M21" i="51"/>
  <c r="B21" i="44"/>
  <c r="J21" i="44" s="1"/>
  <c r="M20" i="51"/>
  <c r="B20" i="44"/>
  <c r="J20" i="44" s="1"/>
  <c r="Q19" i="44"/>
  <c r="M19" i="51"/>
  <c r="B19" i="44"/>
  <c r="J19" i="44" s="1"/>
  <c r="O18" i="44"/>
  <c r="Q18" i="44" s="1"/>
  <c r="C57" i="44" s="1"/>
  <c r="M18" i="51"/>
  <c r="B18" i="44"/>
  <c r="J18" i="44" s="1"/>
  <c r="Q17" i="44"/>
  <c r="C56" i="44" s="1"/>
  <c r="D55" i="44" s="1"/>
  <c r="O17" i="44"/>
  <c r="M17" i="51"/>
  <c r="B17" i="44"/>
  <c r="J17" i="44" s="1"/>
  <c r="O16" i="44"/>
  <c r="Q16" i="44" s="1"/>
  <c r="C55" i="44" s="1"/>
  <c r="D54" i="44" s="1"/>
  <c r="M16" i="51"/>
  <c r="B16" i="44"/>
  <c r="J16" i="44" s="1"/>
  <c r="O15" i="44"/>
  <c r="Q15" i="44" s="1"/>
  <c r="C54" i="44" s="1"/>
  <c r="D53" i="44" s="1"/>
  <c r="M15" i="51"/>
  <c r="B15" i="44"/>
  <c r="J15" i="44" s="1"/>
  <c r="O14" i="44"/>
  <c r="Q14" i="44" s="1"/>
  <c r="C53" i="44" s="1"/>
  <c r="M14" i="51"/>
  <c r="B14" i="44"/>
  <c r="J14" i="44" s="1"/>
  <c r="O13" i="44"/>
  <c r="Q13" i="44" s="1"/>
  <c r="C52" i="44" s="1"/>
  <c r="D51" i="44" s="1"/>
  <c r="M13" i="51"/>
  <c r="B13" i="44"/>
  <c r="J13" i="44" s="1"/>
  <c r="O12" i="44"/>
  <c r="Q12" i="44" s="1"/>
  <c r="C51" i="44" s="1"/>
  <c r="D50" i="44" s="1"/>
  <c r="M12" i="51"/>
  <c r="B12" i="44"/>
  <c r="J12" i="44" s="1"/>
  <c r="O11" i="44"/>
  <c r="Q11" i="44" s="1"/>
  <c r="C50" i="44" s="1"/>
  <c r="M11" i="51"/>
  <c r="B11" i="44"/>
  <c r="J11" i="44" s="1"/>
  <c r="O10" i="44"/>
  <c r="Q10" i="44" s="1"/>
  <c r="C49" i="44" s="1"/>
  <c r="M10" i="51"/>
  <c r="B10" i="44"/>
  <c r="J10" i="44" s="1"/>
  <c r="O9" i="44"/>
  <c r="Q9" i="44" s="1"/>
  <c r="C48" i="44" s="1"/>
  <c r="D47" i="44" s="1"/>
  <c r="M9" i="51"/>
  <c r="B9" i="44"/>
  <c r="J9" i="44" s="1"/>
  <c r="O8" i="44"/>
  <c r="Q8" i="44" s="1"/>
  <c r="C47" i="44" s="1"/>
  <c r="D46" i="44" s="1"/>
  <c r="M8" i="51"/>
  <c r="B8" i="44"/>
  <c r="J8" i="44" s="1"/>
  <c r="O7" i="44"/>
  <c r="Q7" i="44" s="1"/>
  <c r="C46" i="44" s="1"/>
  <c r="M7" i="51"/>
  <c r="B7" i="44"/>
  <c r="J7" i="44" s="1"/>
  <c r="O6" i="44"/>
  <c r="Q6" i="44" s="1"/>
  <c r="C45" i="44" s="1"/>
  <c r="M6" i="51"/>
  <c r="B6" i="44"/>
  <c r="J6" i="44" s="1"/>
  <c r="O5" i="44"/>
  <c r="Q5" i="44" s="1"/>
  <c r="C44" i="44" s="1"/>
  <c r="D43" i="44" s="1"/>
  <c r="B43" i="44" s="1"/>
  <c r="M5" i="51"/>
  <c r="B5" i="44"/>
  <c r="J5" i="44" s="1"/>
  <c r="O4" i="44"/>
  <c r="B4" i="44"/>
  <c r="J4" i="44" s="1"/>
  <c r="C2" i="44"/>
  <c r="C1" i="44"/>
  <c r="F58" i="43"/>
  <c r="F57" i="43"/>
  <c r="D57" i="43"/>
  <c r="C58" i="43" s="1"/>
  <c r="B58" i="43" s="1"/>
  <c r="F56" i="43"/>
  <c r="F55" i="43"/>
  <c r="F54" i="43"/>
  <c r="F53" i="43"/>
  <c r="F52" i="43"/>
  <c r="F51" i="43"/>
  <c r="F50" i="43"/>
  <c r="F49" i="43"/>
  <c r="F48" i="43"/>
  <c r="F47" i="43"/>
  <c r="F46" i="43"/>
  <c r="F45" i="43"/>
  <c r="F44" i="43"/>
  <c r="F43" i="43"/>
  <c r="C43" i="43"/>
  <c r="L38" i="51"/>
  <c r="B38" i="43"/>
  <c r="J38" i="43" s="1"/>
  <c r="L37" i="51"/>
  <c r="B37" i="43"/>
  <c r="J37" i="43" s="1"/>
  <c r="L36" i="51"/>
  <c r="B36" i="43"/>
  <c r="J36" i="43" s="1"/>
  <c r="L35" i="51"/>
  <c r="B35" i="43"/>
  <c r="J35" i="43" s="1"/>
  <c r="L34" i="51"/>
  <c r="B34" i="43"/>
  <c r="J34" i="43" s="1"/>
  <c r="L33" i="51"/>
  <c r="B33" i="43"/>
  <c r="J33" i="43" s="1"/>
  <c r="L32" i="51"/>
  <c r="B32" i="43"/>
  <c r="J32" i="43" s="1"/>
  <c r="L31" i="51"/>
  <c r="B31" i="43"/>
  <c r="J31" i="43" s="1"/>
  <c r="L30" i="51"/>
  <c r="B30" i="43"/>
  <c r="J30" i="43" s="1"/>
  <c r="L29" i="51"/>
  <c r="B29" i="43"/>
  <c r="J29" i="43" s="1"/>
  <c r="L28" i="51"/>
  <c r="B28" i="43"/>
  <c r="J28" i="43" s="1"/>
  <c r="L27" i="51"/>
  <c r="B27" i="43"/>
  <c r="J27" i="43" s="1"/>
  <c r="L26" i="51"/>
  <c r="B26" i="43"/>
  <c r="J26" i="43" s="1"/>
  <c r="G25" i="43"/>
  <c r="L25" i="51"/>
  <c r="B25" i="43"/>
  <c r="J25" i="43" s="1"/>
  <c r="L24" i="51"/>
  <c r="B24" i="43"/>
  <c r="J24" i="43" s="1"/>
  <c r="L23" i="51"/>
  <c r="B23" i="43"/>
  <c r="J23" i="43" s="1"/>
  <c r="L22" i="51"/>
  <c r="B22" i="43"/>
  <c r="J22" i="43" s="1"/>
  <c r="L21" i="51"/>
  <c r="B21" i="43"/>
  <c r="J21" i="43" s="1"/>
  <c r="L20" i="51"/>
  <c r="B20" i="43"/>
  <c r="J20" i="43" s="1"/>
  <c r="Q19" i="43"/>
  <c r="L19" i="51"/>
  <c r="B19" i="43"/>
  <c r="J19" i="43" s="1"/>
  <c r="O18" i="43"/>
  <c r="Q18" i="43" s="1"/>
  <c r="C57" i="43" s="1"/>
  <c r="B57" i="43" s="1"/>
  <c r="L18" i="51"/>
  <c r="B18" i="43"/>
  <c r="J18" i="43" s="1"/>
  <c r="Q17" i="43"/>
  <c r="C56" i="43" s="1"/>
  <c r="D55" i="43" s="1"/>
  <c r="O17" i="43"/>
  <c r="L17" i="51"/>
  <c r="B17" i="43"/>
  <c r="J17" i="43" s="1"/>
  <c r="O16" i="43"/>
  <c r="Q16" i="43" s="1"/>
  <c r="C55" i="43" s="1"/>
  <c r="D54" i="43" s="1"/>
  <c r="L16" i="51"/>
  <c r="B16" i="43"/>
  <c r="J16" i="43" s="1"/>
  <c r="O15" i="43"/>
  <c r="Q15" i="43" s="1"/>
  <c r="C54" i="43" s="1"/>
  <c r="L15" i="51"/>
  <c r="B15" i="43"/>
  <c r="J15" i="43" s="1"/>
  <c r="Q14" i="43"/>
  <c r="C53" i="43" s="1"/>
  <c r="D52" i="43" s="1"/>
  <c r="O14" i="43"/>
  <c r="L14" i="51"/>
  <c r="B14" i="43"/>
  <c r="J14" i="43" s="1"/>
  <c r="O13" i="43"/>
  <c r="Q13" i="43" s="1"/>
  <c r="C52" i="43" s="1"/>
  <c r="D51" i="43" s="1"/>
  <c r="L13" i="51"/>
  <c r="B13" i="43"/>
  <c r="J13" i="43" s="1"/>
  <c r="O12" i="43"/>
  <c r="Q12" i="43" s="1"/>
  <c r="C51" i="43" s="1"/>
  <c r="D50" i="43" s="1"/>
  <c r="L12" i="51"/>
  <c r="B12" i="43"/>
  <c r="J12" i="43" s="1"/>
  <c r="Q11" i="43"/>
  <c r="C50" i="43" s="1"/>
  <c r="O11" i="43"/>
  <c r="L11" i="51"/>
  <c r="B11" i="43"/>
  <c r="J11" i="43" s="1"/>
  <c r="O10" i="43"/>
  <c r="Q10" i="43" s="1"/>
  <c r="C49" i="43" s="1"/>
  <c r="D48" i="43" s="1"/>
  <c r="L10" i="51"/>
  <c r="B10" i="43"/>
  <c r="J10" i="43" s="1"/>
  <c r="O9" i="43"/>
  <c r="Q9" i="43" s="1"/>
  <c r="C48" i="43" s="1"/>
  <c r="D47" i="43" s="1"/>
  <c r="L9" i="51"/>
  <c r="B9" i="43"/>
  <c r="J9" i="43" s="1"/>
  <c r="Q8" i="43"/>
  <c r="C47" i="43" s="1"/>
  <c r="B47" i="43" s="1"/>
  <c r="O8" i="43"/>
  <c r="L8" i="51"/>
  <c r="B8" i="43"/>
  <c r="J8" i="43" s="1"/>
  <c r="O7" i="43"/>
  <c r="Q7" i="43" s="1"/>
  <c r="C46" i="43" s="1"/>
  <c r="L7" i="51"/>
  <c r="B7" i="43"/>
  <c r="J7" i="43" s="1"/>
  <c r="O6" i="43"/>
  <c r="Q6" i="43" s="1"/>
  <c r="C45" i="43" s="1"/>
  <c r="D44" i="43" s="1"/>
  <c r="L6" i="51"/>
  <c r="B6" i="43"/>
  <c r="J6" i="43" s="1"/>
  <c r="O5" i="43"/>
  <c r="Q5" i="43" s="1"/>
  <c r="C44" i="43" s="1"/>
  <c r="D43" i="43" s="1"/>
  <c r="B43" i="43" s="1"/>
  <c r="L5" i="51"/>
  <c r="B5" i="43"/>
  <c r="J5" i="43" s="1"/>
  <c r="O4" i="43"/>
  <c r="B4" i="43"/>
  <c r="J4" i="43" s="1"/>
  <c r="C2" i="43"/>
  <c r="C1" i="43"/>
  <c r="F58" i="42"/>
  <c r="F57" i="42"/>
  <c r="D57" i="42"/>
  <c r="C58" i="42" s="1"/>
  <c r="B58" i="42" s="1"/>
  <c r="F56" i="42"/>
  <c r="F55" i="42"/>
  <c r="F54" i="42"/>
  <c r="F53" i="42"/>
  <c r="F52" i="42"/>
  <c r="F51" i="42"/>
  <c r="F50" i="42"/>
  <c r="F49" i="42"/>
  <c r="F48" i="42"/>
  <c r="F47" i="42"/>
  <c r="F46" i="42"/>
  <c r="F45" i="42"/>
  <c r="F44" i="42"/>
  <c r="F43" i="42"/>
  <c r="C43" i="42"/>
  <c r="B38" i="42"/>
  <c r="J38" i="42" s="1"/>
  <c r="B37" i="42"/>
  <c r="J37" i="42" s="1"/>
  <c r="B36" i="42"/>
  <c r="J36" i="42" s="1"/>
  <c r="B35" i="42"/>
  <c r="J35" i="42" s="1"/>
  <c r="B34" i="42"/>
  <c r="J34" i="42" s="1"/>
  <c r="B33" i="42"/>
  <c r="J33" i="42" s="1"/>
  <c r="B32" i="42"/>
  <c r="J32" i="42" s="1"/>
  <c r="B31" i="42"/>
  <c r="J31" i="42" s="1"/>
  <c r="B30" i="42"/>
  <c r="J30" i="42" s="1"/>
  <c r="B29" i="42"/>
  <c r="J29" i="42" s="1"/>
  <c r="B28" i="42"/>
  <c r="J28" i="42" s="1"/>
  <c r="B27" i="42"/>
  <c r="J27" i="42" s="1"/>
  <c r="B26" i="42"/>
  <c r="J26" i="42" s="1"/>
  <c r="G25" i="42"/>
  <c r="B25" i="42"/>
  <c r="J25" i="42" s="1"/>
  <c r="B24" i="42"/>
  <c r="J24" i="42" s="1"/>
  <c r="B23" i="42"/>
  <c r="J23" i="42" s="1"/>
  <c r="B22" i="42"/>
  <c r="J22" i="42" s="1"/>
  <c r="B21" i="42"/>
  <c r="J21" i="42" s="1"/>
  <c r="B20" i="42"/>
  <c r="J20" i="42" s="1"/>
  <c r="Q19" i="42"/>
  <c r="B19" i="42"/>
  <c r="J19" i="42" s="1"/>
  <c r="Q18" i="42"/>
  <c r="C57" i="42" s="1"/>
  <c r="O18" i="42"/>
  <c r="B18" i="42"/>
  <c r="J18" i="42" s="1"/>
  <c r="O17" i="42"/>
  <c r="Q17" i="42" s="1"/>
  <c r="C56" i="42" s="1"/>
  <c r="B17" i="42"/>
  <c r="J17" i="42" s="1"/>
  <c r="O16" i="42"/>
  <c r="Q16" i="42" s="1"/>
  <c r="C55" i="42" s="1"/>
  <c r="B16" i="42"/>
  <c r="J16" i="42" s="1"/>
  <c r="Q15" i="42"/>
  <c r="C54" i="42" s="1"/>
  <c r="O15" i="42"/>
  <c r="B15" i="42"/>
  <c r="J15" i="42" s="1"/>
  <c r="O14" i="42"/>
  <c r="Q14" i="42" s="1"/>
  <c r="C53" i="42" s="1"/>
  <c r="B14" i="42"/>
  <c r="J14" i="42" s="1"/>
  <c r="O13" i="42"/>
  <c r="Q13" i="42" s="1"/>
  <c r="C52" i="42" s="1"/>
  <c r="G13" i="1"/>
  <c r="B13" i="42"/>
  <c r="J13" i="42" s="1"/>
  <c r="O12" i="42"/>
  <c r="Q12" i="42" s="1"/>
  <c r="C51" i="42" s="1"/>
  <c r="B12" i="42"/>
  <c r="J12" i="42" s="1"/>
  <c r="O11" i="42"/>
  <c r="Q11" i="42" s="1"/>
  <c r="C50" i="42" s="1"/>
  <c r="G11" i="1"/>
  <c r="B11" i="42"/>
  <c r="J11" i="42" s="1"/>
  <c r="O10" i="42"/>
  <c r="Q10" i="42" s="1"/>
  <c r="C49" i="42" s="1"/>
  <c r="G10" i="1"/>
  <c r="B10" i="42"/>
  <c r="J10" i="42" s="1"/>
  <c r="O9" i="42"/>
  <c r="Q9" i="42" s="1"/>
  <c r="C48" i="42" s="1"/>
  <c r="B9" i="42"/>
  <c r="J9" i="42" s="1"/>
  <c r="O8" i="42"/>
  <c r="Q8" i="42" s="1"/>
  <c r="C47" i="42" s="1"/>
  <c r="G8" i="1"/>
  <c r="B8" i="42"/>
  <c r="J8" i="42" s="1"/>
  <c r="O7" i="42"/>
  <c r="Q7" i="42" s="1"/>
  <c r="C46" i="42" s="1"/>
  <c r="G7" i="1"/>
  <c r="B7" i="42"/>
  <c r="J7" i="42" s="1"/>
  <c r="O6" i="42"/>
  <c r="Q6" i="42" s="1"/>
  <c r="C45" i="42" s="1"/>
  <c r="G6" i="1"/>
  <c r="B6" i="42"/>
  <c r="J6" i="42" s="1"/>
  <c r="O5" i="42"/>
  <c r="Q5" i="42" s="1"/>
  <c r="C44" i="42" s="1"/>
  <c r="B5" i="42"/>
  <c r="J5" i="42" s="1"/>
  <c r="O4" i="42"/>
  <c r="B4" i="42"/>
  <c r="J4" i="42" s="1"/>
  <c r="C2" i="42"/>
  <c r="C1" i="42"/>
  <c r="F58" i="41"/>
  <c r="F57" i="41"/>
  <c r="D57" i="41"/>
  <c r="C58" i="41" s="1"/>
  <c r="B58" i="41" s="1"/>
  <c r="F56" i="41"/>
  <c r="F55" i="41"/>
  <c r="F54" i="41"/>
  <c r="F53" i="41"/>
  <c r="F52" i="41"/>
  <c r="F51" i="41"/>
  <c r="F50" i="41"/>
  <c r="F49" i="41"/>
  <c r="F48" i="41"/>
  <c r="F47" i="41"/>
  <c r="F46" i="41"/>
  <c r="F45" i="41"/>
  <c r="F44" i="41"/>
  <c r="F43" i="41"/>
  <c r="C43" i="41"/>
  <c r="B38" i="41"/>
  <c r="J38" i="41" s="1"/>
  <c r="B37" i="41"/>
  <c r="J37" i="41" s="1"/>
  <c r="B36" i="41"/>
  <c r="J36" i="41" s="1"/>
  <c r="B35" i="41"/>
  <c r="J35" i="41" s="1"/>
  <c r="B34" i="41"/>
  <c r="J34" i="41" s="1"/>
  <c r="B33" i="41"/>
  <c r="J33" i="41" s="1"/>
  <c r="B32" i="41"/>
  <c r="J32" i="41" s="1"/>
  <c r="B31" i="41"/>
  <c r="J31" i="41" s="1"/>
  <c r="B30" i="41"/>
  <c r="J30" i="41" s="1"/>
  <c r="B29" i="41"/>
  <c r="J29" i="41" s="1"/>
  <c r="B28" i="41"/>
  <c r="J28" i="41" s="1"/>
  <c r="B27" i="41"/>
  <c r="J27" i="41" s="1"/>
  <c r="B26" i="41"/>
  <c r="J26" i="41" s="1"/>
  <c r="G25" i="41"/>
  <c r="B25" i="41"/>
  <c r="J25" i="41" s="1"/>
  <c r="B24" i="41"/>
  <c r="J24" i="41" s="1"/>
  <c r="B23" i="41"/>
  <c r="J23" i="41" s="1"/>
  <c r="B22" i="41"/>
  <c r="J22" i="41" s="1"/>
  <c r="B21" i="41"/>
  <c r="J21" i="41" s="1"/>
  <c r="B20" i="41"/>
  <c r="J20" i="41" s="1"/>
  <c r="Q19" i="41"/>
  <c r="B19" i="41"/>
  <c r="J19" i="41" s="1"/>
  <c r="O18" i="41"/>
  <c r="Q18" i="41" s="1"/>
  <c r="C57" i="41" s="1"/>
  <c r="B18" i="41"/>
  <c r="J18" i="41" s="1"/>
  <c r="O17" i="41"/>
  <c r="Q17" i="41" s="1"/>
  <c r="C56" i="41" s="1"/>
  <c r="B17" i="41"/>
  <c r="J17" i="41" s="1"/>
  <c r="O16" i="41"/>
  <c r="Q16" i="41" s="1"/>
  <c r="C55" i="41" s="1"/>
  <c r="B16" i="41"/>
  <c r="J16" i="41" s="1"/>
  <c r="O15" i="41"/>
  <c r="Q15" i="41" s="1"/>
  <c r="C54" i="41" s="1"/>
  <c r="B15" i="41"/>
  <c r="J15" i="41" s="1"/>
  <c r="O14" i="41"/>
  <c r="Q14" i="41" s="1"/>
  <c r="C53" i="41" s="1"/>
  <c r="B14" i="41"/>
  <c r="J14" i="41" s="1"/>
  <c r="O13" i="41"/>
  <c r="Q13" i="41" s="1"/>
  <c r="C52" i="41" s="1"/>
  <c r="B13" i="41"/>
  <c r="J13" i="41" s="1"/>
  <c r="O12" i="41"/>
  <c r="Q12" i="41" s="1"/>
  <c r="C51" i="41" s="1"/>
  <c r="F12" i="1"/>
  <c r="B12" i="41"/>
  <c r="J12" i="41" s="1"/>
  <c r="O11" i="41"/>
  <c r="Q11" i="41" s="1"/>
  <c r="C50" i="41" s="1"/>
  <c r="B11" i="41"/>
  <c r="J11" i="41" s="1"/>
  <c r="O10" i="41"/>
  <c r="Q10" i="41" s="1"/>
  <c r="C49" i="41" s="1"/>
  <c r="F10" i="1"/>
  <c r="B10" i="41"/>
  <c r="J10" i="41" s="1"/>
  <c r="O9" i="41"/>
  <c r="Q9" i="41" s="1"/>
  <c r="C48" i="41" s="1"/>
  <c r="B9" i="41"/>
  <c r="J9" i="41" s="1"/>
  <c r="Q8" i="41"/>
  <c r="C47" i="41" s="1"/>
  <c r="O8" i="41"/>
  <c r="B8" i="41"/>
  <c r="J8" i="41" s="1"/>
  <c r="O7" i="41"/>
  <c r="Q7" i="41" s="1"/>
  <c r="C46" i="41" s="1"/>
  <c r="B7" i="41"/>
  <c r="J7" i="41" s="1"/>
  <c r="O6" i="41"/>
  <c r="Q6" i="41" s="1"/>
  <c r="C45" i="41" s="1"/>
  <c r="F6" i="1"/>
  <c r="B6" i="41"/>
  <c r="J6" i="41" s="1"/>
  <c r="Q5" i="41"/>
  <c r="C44" i="41" s="1"/>
  <c r="O5" i="41"/>
  <c r="B5" i="41"/>
  <c r="J5" i="41" s="1"/>
  <c r="O4" i="41"/>
  <c r="B4" i="41"/>
  <c r="J4" i="41" s="1"/>
  <c r="C2" i="41"/>
  <c r="C1" i="41"/>
  <c r="F58" i="40"/>
  <c r="F57" i="40"/>
  <c r="D57" i="40"/>
  <c r="C58" i="40" s="1"/>
  <c r="B58" i="40" s="1"/>
  <c r="F56" i="40"/>
  <c r="F55" i="40"/>
  <c r="F54" i="40"/>
  <c r="F53" i="40"/>
  <c r="F52" i="40"/>
  <c r="F51" i="40"/>
  <c r="F50" i="40"/>
  <c r="F49" i="40"/>
  <c r="F48" i="40"/>
  <c r="F47" i="40"/>
  <c r="F46" i="40"/>
  <c r="F45" i="40"/>
  <c r="F44" i="40"/>
  <c r="F43" i="40"/>
  <c r="C43" i="40"/>
  <c r="E38" i="1"/>
  <c r="B38" i="40"/>
  <c r="J38" i="40" s="1"/>
  <c r="B37" i="40"/>
  <c r="J37" i="40" s="1"/>
  <c r="B36" i="40"/>
  <c r="J36" i="40" s="1"/>
  <c r="B35" i="40"/>
  <c r="J35" i="40" s="1"/>
  <c r="E34" i="1"/>
  <c r="B34" i="40"/>
  <c r="J34" i="40" s="1"/>
  <c r="B33" i="40"/>
  <c r="J33" i="40" s="1"/>
  <c r="E32" i="1"/>
  <c r="B32" i="40"/>
  <c r="J32" i="40" s="1"/>
  <c r="B31" i="40"/>
  <c r="J31" i="40" s="1"/>
  <c r="E30" i="1"/>
  <c r="B30" i="40"/>
  <c r="J30" i="40" s="1"/>
  <c r="B29" i="40"/>
  <c r="J29" i="40" s="1"/>
  <c r="B28" i="40"/>
  <c r="J28" i="40" s="1"/>
  <c r="B27" i="40"/>
  <c r="J27" i="40" s="1"/>
  <c r="E26" i="1"/>
  <c r="B26" i="40"/>
  <c r="J26" i="40" s="1"/>
  <c r="G25" i="40"/>
  <c r="B25" i="40"/>
  <c r="J25" i="40" s="1"/>
  <c r="B24" i="40"/>
  <c r="J24" i="40" s="1"/>
  <c r="B23" i="40"/>
  <c r="J23" i="40" s="1"/>
  <c r="E22" i="1"/>
  <c r="B22" i="40"/>
  <c r="J22" i="40" s="1"/>
  <c r="B21" i="40"/>
  <c r="J21" i="40" s="1"/>
  <c r="B20" i="40"/>
  <c r="J20" i="40" s="1"/>
  <c r="Q19" i="40"/>
  <c r="B19" i="40"/>
  <c r="J19" i="40" s="1"/>
  <c r="O18" i="40"/>
  <c r="Q18" i="40" s="1"/>
  <c r="C57" i="40" s="1"/>
  <c r="B18" i="40"/>
  <c r="J18" i="40" s="1"/>
  <c r="O17" i="40"/>
  <c r="Q17" i="40" s="1"/>
  <c r="C56" i="40" s="1"/>
  <c r="B17" i="40"/>
  <c r="J17" i="40" s="1"/>
  <c r="O16" i="40"/>
  <c r="Q16" i="40" s="1"/>
  <c r="C55" i="40" s="1"/>
  <c r="E16" i="1"/>
  <c r="B16" i="40"/>
  <c r="J16" i="40" s="1"/>
  <c r="O15" i="40"/>
  <c r="Q15" i="40" s="1"/>
  <c r="C54" i="40" s="1"/>
  <c r="B15" i="40"/>
  <c r="J15" i="40" s="1"/>
  <c r="O14" i="40"/>
  <c r="Q14" i="40" s="1"/>
  <c r="C53" i="40" s="1"/>
  <c r="B14" i="40"/>
  <c r="J14" i="40" s="1"/>
  <c r="Q13" i="40"/>
  <c r="C52" i="40" s="1"/>
  <c r="O13" i="40"/>
  <c r="B13" i="40"/>
  <c r="J13" i="40" s="1"/>
  <c r="O12" i="40"/>
  <c r="Q12" i="40" s="1"/>
  <c r="C51" i="40" s="1"/>
  <c r="E12" i="1"/>
  <c r="B12" i="40"/>
  <c r="J12" i="40" s="1"/>
  <c r="O11" i="40"/>
  <c r="Q11" i="40" s="1"/>
  <c r="C50" i="40" s="1"/>
  <c r="B11" i="40"/>
  <c r="J11" i="40" s="1"/>
  <c r="O10" i="40"/>
  <c r="Q10" i="40" s="1"/>
  <c r="C49" i="40" s="1"/>
  <c r="B10" i="40"/>
  <c r="J10" i="40" s="1"/>
  <c r="Q9" i="40"/>
  <c r="C48" i="40" s="1"/>
  <c r="O9" i="40"/>
  <c r="B9" i="40"/>
  <c r="J9" i="40" s="1"/>
  <c r="O8" i="40"/>
  <c r="Q8" i="40" s="1"/>
  <c r="C47" i="40" s="1"/>
  <c r="B8" i="40"/>
  <c r="J8" i="40" s="1"/>
  <c r="O7" i="40"/>
  <c r="Q7" i="40" s="1"/>
  <c r="C46" i="40" s="1"/>
  <c r="E7" i="1"/>
  <c r="B7" i="40"/>
  <c r="J7" i="40" s="1"/>
  <c r="O6" i="40"/>
  <c r="Q6" i="40" s="1"/>
  <c r="C45" i="40" s="1"/>
  <c r="B6" i="40"/>
  <c r="J6" i="40" s="1"/>
  <c r="O5" i="40"/>
  <c r="Q5" i="40" s="1"/>
  <c r="C44" i="40" s="1"/>
  <c r="E5" i="1"/>
  <c r="B5" i="40"/>
  <c r="J5" i="40" s="1"/>
  <c r="O4" i="40"/>
  <c r="B4" i="40"/>
  <c r="J4" i="40" s="1"/>
  <c r="C2" i="40"/>
  <c r="C1" i="40"/>
  <c r="F58" i="39"/>
  <c r="F57" i="39"/>
  <c r="D57" i="39"/>
  <c r="C58" i="39" s="1"/>
  <c r="B58" i="39" s="1"/>
  <c r="F56" i="39"/>
  <c r="F55" i="39"/>
  <c r="F54" i="39"/>
  <c r="F53" i="39"/>
  <c r="F52" i="39"/>
  <c r="F51" i="39"/>
  <c r="F50" i="39"/>
  <c r="F49" i="39"/>
  <c r="F48" i="39"/>
  <c r="F47" i="39"/>
  <c r="F46" i="39"/>
  <c r="F45" i="39"/>
  <c r="F44" i="39"/>
  <c r="F43" i="39"/>
  <c r="C43" i="39"/>
  <c r="B38" i="39"/>
  <c r="J38" i="39" s="1"/>
  <c r="B37" i="39"/>
  <c r="J37" i="39" s="1"/>
  <c r="B36" i="39"/>
  <c r="J36" i="39" s="1"/>
  <c r="B35" i="39"/>
  <c r="J35" i="39" s="1"/>
  <c r="B34" i="39"/>
  <c r="J34" i="39" s="1"/>
  <c r="B33" i="39"/>
  <c r="J33" i="39" s="1"/>
  <c r="B32" i="39"/>
  <c r="J32" i="39" s="1"/>
  <c r="B31" i="39"/>
  <c r="J31" i="39" s="1"/>
  <c r="B30" i="39"/>
  <c r="J30" i="39" s="1"/>
  <c r="B29" i="39"/>
  <c r="J29" i="39" s="1"/>
  <c r="B28" i="39"/>
  <c r="J28" i="39" s="1"/>
  <c r="B27" i="39"/>
  <c r="J27" i="39" s="1"/>
  <c r="B26" i="39"/>
  <c r="J26" i="39" s="1"/>
  <c r="G25" i="39"/>
  <c r="D25" i="1"/>
  <c r="B25" i="39"/>
  <c r="J25" i="39" s="1"/>
  <c r="B24" i="39"/>
  <c r="J24" i="39" s="1"/>
  <c r="D23" i="1"/>
  <c r="B23" i="39"/>
  <c r="J23" i="39" s="1"/>
  <c r="B22" i="39"/>
  <c r="J22" i="39" s="1"/>
  <c r="B21" i="39"/>
  <c r="J21" i="39" s="1"/>
  <c r="B20" i="39"/>
  <c r="J20" i="39" s="1"/>
  <c r="Q19" i="39"/>
  <c r="B19" i="39"/>
  <c r="J19" i="39" s="1"/>
  <c r="O18" i="39"/>
  <c r="Q18" i="39" s="1"/>
  <c r="C57" i="39" s="1"/>
  <c r="B18" i="39"/>
  <c r="J18" i="39" s="1"/>
  <c r="O17" i="39"/>
  <c r="Q17" i="39" s="1"/>
  <c r="C56" i="39" s="1"/>
  <c r="D17" i="1"/>
  <c r="B17" i="39"/>
  <c r="J17" i="39" s="1"/>
  <c r="O16" i="39"/>
  <c r="Q16" i="39" s="1"/>
  <c r="C55" i="39" s="1"/>
  <c r="B16" i="39"/>
  <c r="J16" i="39" s="1"/>
  <c r="Q15" i="39"/>
  <c r="C54" i="39" s="1"/>
  <c r="O15" i="39"/>
  <c r="D15" i="1"/>
  <c r="B15" i="39"/>
  <c r="J15" i="39" s="1"/>
  <c r="Q14" i="39"/>
  <c r="C53" i="39" s="1"/>
  <c r="O14" i="39"/>
  <c r="B14" i="39"/>
  <c r="J14" i="39" s="1"/>
  <c r="O13" i="39"/>
  <c r="Q13" i="39" s="1"/>
  <c r="C52" i="39" s="1"/>
  <c r="D13" i="1"/>
  <c r="B13" i="39"/>
  <c r="J13" i="39" s="1"/>
  <c r="O12" i="39"/>
  <c r="Q12" i="39" s="1"/>
  <c r="C51" i="39" s="1"/>
  <c r="B12" i="39"/>
  <c r="J12" i="39" s="1"/>
  <c r="O11" i="39"/>
  <c r="Q11" i="39" s="1"/>
  <c r="C50" i="39" s="1"/>
  <c r="D11" i="1"/>
  <c r="B11" i="39"/>
  <c r="J11" i="39" s="1"/>
  <c r="O10" i="39"/>
  <c r="Q10" i="39" s="1"/>
  <c r="C49" i="39" s="1"/>
  <c r="B10" i="39"/>
  <c r="J10" i="39" s="1"/>
  <c r="O9" i="39"/>
  <c r="Q9" i="39" s="1"/>
  <c r="C48" i="39" s="1"/>
  <c r="D9" i="1"/>
  <c r="B9" i="39"/>
  <c r="J9" i="39" s="1"/>
  <c r="O8" i="39"/>
  <c r="Q8" i="39" s="1"/>
  <c r="C47" i="39" s="1"/>
  <c r="B8" i="39"/>
  <c r="J8" i="39" s="1"/>
  <c r="O7" i="39"/>
  <c r="Q7" i="39" s="1"/>
  <c r="C46" i="39" s="1"/>
  <c r="D7" i="1"/>
  <c r="B7" i="39"/>
  <c r="J7" i="39" s="1"/>
  <c r="O6" i="39"/>
  <c r="Q6" i="39" s="1"/>
  <c r="C45" i="39" s="1"/>
  <c r="B6" i="39"/>
  <c r="J6" i="39" s="1"/>
  <c r="O5" i="39"/>
  <c r="Q5" i="39" s="1"/>
  <c r="C44" i="39" s="1"/>
  <c r="B5" i="39"/>
  <c r="J5" i="39" s="1"/>
  <c r="O4" i="39"/>
  <c r="B4" i="39"/>
  <c r="J4" i="39" s="1"/>
  <c r="C2" i="39"/>
  <c r="C1" i="39"/>
  <c r="F58" i="38"/>
  <c r="F57" i="38"/>
  <c r="D57" i="38"/>
  <c r="C58" i="38" s="1"/>
  <c r="B58" i="38" s="1"/>
  <c r="F56" i="38"/>
  <c r="F55" i="38"/>
  <c r="F54" i="38"/>
  <c r="F53" i="38"/>
  <c r="F52" i="38"/>
  <c r="F51" i="38"/>
  <c r="F50" i="38"/>
  <c r="F49" i="38"/>
  <c r="F48" i="38"/>
  <c r="F47" i="38"/>
  <c r="F46" i="38"/>
  <c r="F45" i="38"/>
  <c r="F44" i="38"/>
  <c r="F43" i="38"/>
  <c r="C43" i="38"/>
  <c r="B38" i="38"/>
  <c r="J38" i="38" s="1"/>
  <c r="B37" i="38"/>
  <c r="J37" i="38" s="1"/>
  <c r="B36" i="38"/>
  <c r="J36" i="38" s="1"/>
  <c r="B35" i="38"/>
  <c r="J35" i="38" s="1"/>
  <c r="B34" i="38"/>
  <c r="J34" i="38" s="1"/>
  <c r="B33" i="38"/>
  <c r="J33" i="38" s="1"/>
  <c r="B32" i="38"/>
  <c r="J32" i="38" s="1"/>
  <c r="B31" i="38"/>
  <c r="J31" i="38" s="1"/>
  <c r="B30" i="38"/>
  <c r="J30" i="38" s="1"/>
  <c r="B29" i="38"/>
  <c r="J29" i="38" s="1"/>
  <c r="B28" i="38"/>
  <c r="J28" i="38" s="1"/>
  <c r="B27" i="38"/>
  <c r="J27" i="38" s="1"/>
  <c r="B26" i="38"/>
  <c r="J26" i="38" s="1"/>
  <c r="G25" i="38"/>
  <c r="B25" i="38"/>
  <c r="J25" i="38" s="1"/>
  <c r="B24" i="38"/>
  <c r="J24" i="38" s="1"/>
  <c r="B23" i="38"/>
  <c r="J23" i="38" s="1"/>
  <c r="B22" i="38"/>
  <c r="J22" i="38" s="1"/>
  <c r="B21" i="38"/>
  <c r="J21" i="38" s="1"/>
  <c r="B20" i="38"/>
  <c r="J20" i="38" s="1"/>
  <c r="Q19" i="38"/>
  <c r="B19" i="38"/>
  <c r="J19" i="38" s="1"/>
  <c r="Q18" i="38"/>
  <c r="C57" i="38" s="1"/>
  <c r="O18" i="38"/>
  <c r="B18" i="38"/>
  <c r="J18" i="38" s="1"/>
  <c r="O17" i="38"/>
  <c r="Q17" i="38" s="1"/>
  <c r="C56" i="38" s="1"/>
  <c r="B17" i="38"/>
  <c r="J17" i="38" s="1"/>
  <c r="O16" i="38"/>
  <c r="Q16" i="38" s="1"/>
  <c r="C55" i="38" s="1"/>
  <c r="B16" i="38"/>
  <c r="J16" i="38" s="1"/>
  <c r="O15" i="38"/>
  <c r="Q15" i="38" s="1"/>
  <c r="C54" i="38" s="1"/>
  <c r="B15" i="38"/>
  <c r="J15" i="38" s="1"/>
  <c r="O14" i="38"/>
  <c r="Q14" i="38" s="1"/>
  <c r="C53" i="38" s="1"/>
  <c r="B14" i="38"/>
  <c r="J14" i="38" s="1"/>
  <c r="O13" i="38"/>
  <c r="Q13" i="38" s="1"/>
  <c r="C52" i="38" s="1"/>
  <c r="B13" i="38"/>
  <c r="J13" i="38" s="1"/>
  <c r="Q12" i="38"/>
  <c r="C51" i="38" s="1"/>
  <c r="O12" i="38"/>
  <c r="B12" i="38"/>
  <c r="J12" i="38" s="1"/>
  <c r="O11" i="38"/>
  <c r="Q11" i="38" s="1"/>
  <c r="C50" i="38" s="1"/>
  <c r="B11" i="38"/>
  <c r="J11" i="38" s="1"/>
  <c r="O10" i="38"/>
  <c r="Q10" i="38" s="1"/>
  <c r="C49" i="38" s="1"/>
  <c r="B10" i="38"/>
  <c r="J10" i="38" s="1"/>
  <c r="O9" i="38"/>
  <c r="Q9" i="38" s="1"/>
  <c r="C48" i="38" s="1"/>
  <c r="B9" i="38"/>
  <c r="J9" i="38" s="1"/>
  <c r="O8" i="38"/>
  <c r="Q8" i="38" s="1"/>
  <c r="C47" i="38" s="1"/>
  <c r="B8" i="38"/>
  <c r="J8" i="38" s="1"/>
  <c r="Q7" i="38"/>
  <c r="C46" i="38" s="1"/>
  <c r="O7" i="38"/>
  <c r="B7" i="38"/>
  <c r="J7" i="38" s="1"/>
  <c r="O6" i="38"/>
  <c r="Q6" i="38" s="1"/>
  <c r="C45" i="38" s="1"/>
  <c r="D44" i="38" s="1"/>
  <c r="B6" i="38"/>
  <c r="J6" i="38" s="1"/>
  <c r="O5" i="38"/>
  <c r="Q5" i="38" s="1"/>
  <c r="C44" i="38" s="1"/>
  <c r="B5" i="38"/>
  <c r="J5" i="38" s="1"/>
  <c r="O4" i="38"/>
  <c r="B4" i="38"/>
  <c r="J4" i="38" s="1"/>
  <c r="C2" i="38"/>
  <c r="C1" i="38"/>
  <c r="F58" i="37"/>
  <c r="F57" i="37"/>
  <c r="D57" i="37"/>
  <c r="C58" i="37" s="1"/>
  <c r="B58" i="37" s="1"/>
  <c r="F56" i="37"/>
  <c r="F55" i="37"/>
  <c r="F54" i="37"/>
  <c r="F53" i="37"/>
  <c r="F52" i="37"/>
  <c r="F51" i="37"/>
  <c r="F50" i="37"/>
  <c r="F49" i="37"/>
  <c r="F48" i="37"/>
  <c r="F47" i="37"/>
  <c r="F46" i="37"/>
  <c r="F45" i="37"/>
  <c r="F44" i="37"/>
  <c r="F43" i="37"/>
  <c r="C43" i="37"/>
  <c r="M38" i="1"/>
  <c r="B38" i="37"/>
  <c r="J38" i="37" s="1"/>
  <c r="B37" i="37"/>
  <c r="J37" i="37" s="1"/>
  <c r="M36" i="1"/>
  <c r="B36" i="37"/>
  <c r="J36" i="37" s="1"/>
  <c r="B35" i="37"/>
  <c r="J35" i="37" s="1"/>
  <c r="M34" i="1"/>
  <c r="B34" i="37"/>
  <c r="J34" i="37" s="1"/>
  <c r="B33" i="37"/>
  <c r="J33" i="37" s="1"/>
  <c r="M32" i="1"/>
  <c r="B32" i="37"/>
  <c r="J32" i="37" s="1"/>
  <c r="B31" i="37"/>
  <c r="J31" i="37" s="1"/>
  <c r="M30" i="1"/>
  <c r="B30" i="37"/>
  <c r="J30" i="37" s="1"/>
  <c r="B29" i="37"/>
  <c r="J29" i="37" s="1"/>
  <c r="M28" i="1"/>
  <c r="B28" i="37"/>
  <c r="J28" i="37" s="1"/>
  <c r="B27" i="37"/>
  <c r="J27" i="37" s="1"/>
  <c r="M26" i="1"/>
  <c r="B26" i="37"/>
  <c r="J26" i="37" s="1"/>
  <c r="G25" i="37"/>
  <c r="B25" i="37"/>
  <c r="J25" i="37" s="1"/>
  <c r="M24" i="1"/>
  <c r="B24" i="37"/>
  <c r="J24" i="37" s="1"/>
  <c r="B23" i="37"/>
  <c r="J23" i="37" s="1"/>
  <c r="B22" i="37"/>
  <c r="J22" i="37" s="1"/>
  <c r="B21" i="37"/>
  <c r="J21" i="37" s="1"/>
  <c r="M20" i="1"/>
  <c r="B20" i="37"/>
  <c r="J20" i="37" s="1"/>
  <c r="Q19" i="37"/>
  <c r="B19" i="37"/>
  <c r="J19" i="37" s="1"/>
  <c r="O18" i="37"/>
  <c r="Q18" i="37" s="1"/>
  <c r="C57" i="37" s="1"/>
  <c r="B18" i="37"/>
  <c r="J18" i="37" s="1"/>
  <c r="O17" i="37"/>
  <c r="Q17" i="37" s="1"/>
  <c r="C56" i="37" s="1"/>
  <c r="B17" i="37"/>
  <c r="J17" i="37" s="1"/>
  <c r="O16" i="37"/>
  <c r="Q16" i="37" s="1"/>
  <c r="C55" i="37" s="1"/>
  <c r="B16" i="37"/>
  <c r="J16" i="37" s="1"/>
  <c r="Q15" i="37"/>
  <c r="C54" i="37" s="1"/>
  <c r="O15" i="37"/>
  <c r="B15" i="37"/>
  <c r="J15" i="37" s="1"/>
  <c r="O14" i="37"/>
  <c r="Q14" i="37" s="1"/>
  <c r="C53" i="37" s="1"/>
  <c r="B14" i="37"/>
  <c r="J14" i="37" s="1"/>
  <c r="O13" i="37"/>
  <c r="Q13" i="37" s="1"/>
  <c r="C52" i="37" s="1"/>
  <c r="B13" i="37"/>
  <c r="J13" i="37" s="1"/>
  <c r="O12" i="37"/>
  <c r="Q12" i="37" s="1"/>
  <c r="C51" i="37" s="1"/>
  <c r="B12" i="37"/>
  <c r="J12" i="37" s="1"/>
  <c r="O11" i="37"/>
  <c r="Q11" i="37" s="1"/>
  <c r="C50" i="37" s="1"/>
  <c r="B11" i="37"/>
  <c r="J11" i="37" s="1"/>
  <c r="O10" i="37"/>
  <c r="Q10" i="37" s="1"/>
  <c r="C49" i="37" s="1"/>
  <c r="B10" i="37"/>
  <c r="J10" i="37" s="1"/>
  <c r="O9" i="37"/>
  <c r="Q9" i="37" s="1"/>
  <c r="C48" i="37" s="1"/>
  <c r="B9" i="37"/>
  <c r="J9" i="37" s="1"/>
  <c r="O8" i="37"/>
  <c r="Q8" i="37" s="1"/>
  <c r="C47" i="37" s="1"/>
  <c r="B8" i="37"/>
  <c r="J8" i="37" s="1"/>
  <c r="O7" i="37"/>
  <c r="Q7" i="37" s="1"/>
  <c r="C46" i="37" s="1"/>
  <c r="B7" i="37"/>
  <c r="J7" i="37" s="1"/>
  <c r="O6" i="37"/>
  <c r="Q6" i="37" s="1"/>
  <c r="C45" i="37" s="1"/>
  <c r="B6" i="37"/>
  <c r="J6" i="37" s="1"/>
  <c r="Q5" i="37"/>
  <c r="C44" i="37" s="1"/>
  <c r="O5" i="37"/>
  <c r="B5" i="37"/>
  <c r="J5" i="37" s="1"/>
  <c r="O4" i="37"/>
  <c r="B4" i="37"/>
  <c r="J4" i="37" s="1"/>
  <c r="C2" i="37"/>
  <c r="C1" i="37"/>
  <c r="O15" i="5"/>
  <c r="O14" i="5"/>
  <c r="O13" i="5"/>
  <c r="O12" i="5"/>
  <c r="O11" i="5"/>
  <c r="O10" i="5"/>
  <c r="O9" i="5"/>
  <c r="O8" i="5"/>
  <c r="O7" i="5"/>
  <c r="O6" i="5"/>
  <c r="O5" i="5"/>
  <c r="O4" i="5"/>
  <c r="B50" i="44" l="1"/>
  <c r="D49" i="44"/>
  <c r="B57" i="44"/>
  <c r="B54" i="44"/>
  <c r="B46" i="44"/>
  <c r="B51" i="45"/>
  <c r="G38" i="51"/>
  <c r="K38" i="51" s="1"/>
  <c r="N38" i="51" s="1" a="1"/>
  <c r="N38" i="51" s="1"/>
  <c r="D56" i="43"/>
  <c r="B56" i="43" s="1"/>
  <c r="B50" i="43"/>
  <c r="B51" i="43"/>
  <c r="B52" i="43"/>
  <c r="B54" i="43"/>
  <c r="B55" i="43"/>
  <c r="D49" i="43"/>
  <c r="B53" i="44"/>
  <c r="B49" i="44"/>
  <c r="D48" i="44"/>
  <c r="B48" i="44" s="1"/>
  <c r="B50" i="45"/>
  <c r="B53" i="45"/>
  <c r="B45" i="45"/>
  <c r="B46" i="45"/>
  <c r="B49" i="45"/>
  <c r="B57" i="46"/>
  <c r="F4" i="51"/>
  <c r="E4" i="51"/>
  <c r="M4" i="51"/>
  <c r="L4" i="51"/>
  <c r="F4" i="1"/>
  <c r="E4" i="1"/>
  <c r="D4" i="1"/>
  <c r="C11" i="1"/>
  <c r="C10" i="1"/>
  <c r="C7" i="1"/>
  <c r="C6" i="1"/>
  <c r="M16" i="1"/>
  <c r="M14" i="1"/>
  <c r="M10" i="1"/>
  <c r="M8" i="1"/>
  <c r="M4" i="1"/>
  <c r="K7" i="51"/>
  <c r="N7" i="51" s="1" a="1"/>
  <c r="N7" i="51" s="1"/>
  <c r="K14" i="51"/>
  <c r="N14" i="51" s="1" a="1"/>
  <c r="N14" i="51" s="1"/>
  <c r="K6" i="51"/>
  <c r="N6" i="51" s="1" a="1"/>
  <c r="N6" i="51" s="1"/>
  <c r="K11" i="51"/>
  <c r="N11" i="51" s="1" a="1"/>
  <c r="N11" i="51" s="1"/>
  <c r="K16" i="51"/>
  <c r="N16" i="51" s="1" a="1"/>
  <c r="N16" i="51" s="1"/>
  <c r="K17" i="51"/>
  <c r="N17" i="51" s="1" a="1"/>
  <c r="N17" i="51" s="1"/>
  <c r="K27" i="51"/>
  <c r="N27" i="51" s="1" a="1"/>
  <c r="N27" i="51" s="1"/>
  <c r="K15" i="51"/>
  <c r="N15" i="51" s="1" a="1"/>
  <c r="N15" i="51" s="1"/>
  <c r="K12" i="51"/>
  <c r="N12" i="51" s="1" a="1"/>
  <c r="N12" i="51" s="1"/>
  <c r="K23" i="51"/>
  <c r="N23" i="51" s="1" a="1"/>
  <c r="N23" i="51" s="1"/>
  <c r="K19" i="51"/>
  <c r="N19" i="51" s="1" a="1"/>
  <c r="N19" i="51" s="1"/>
  <c r="K13" i="51"/>
  <c r="N13" i="51" s="1" a="1"/>
  <c r="N13" i="51" s="1"/>
  <c r="K22" i="51"/>
  <c r="N22" i="51" s="1" a="1"/>
  <c r="N22" i="51" s="1"/>
  <c r="K21" i="51"/>
  <c r="N21" i="51" s="1" a="1"/>
  <c r="N21" i="51" s="1"/>
  <c r="K25" i="51"/>
  <c r="N25" i="51" s="1" a="1"/>
  <c r="N25" i="51" s="1"/>
  <c r="K26" i="51"/>
  <c r="N26" i="51" s="1" a="1"/>
  <c r="N26" i="51" s="1"/>
  <c r="K30" i="51"/>
  <c r="N30" i="51" s="1" a="1"/>
  <c r="N30" i="51" s="1"/>
  <c r="K34" i="51"/>
  <c r="N34" i="51" s="1" a="1"/>
  <c r="N34" i="51" s="1"/>
  <c r="K10" i="51"/>
  <c r="N10" i="51" s="1" a="1"/>
  <c r="N10" i="51" s="1"/>
  <c r="K9" i="51"/>
  <c r="N9" i="51" s="1" a="1"/>
  <c r="N9" i="51" s="1"/>
  <c r="K28" i="51"/>
  <c r="N28" i="51" s="1" a="1"/>
  <c r="N28" i="51" s="1"/>
  <c r="K32" i="51"/>
  <c r="N32" i="51" s="1" a="1"/>
  <c r="N32" i="51" s="1"/>
  <c r="K36" i="51"/>
  <c r="N36" i="51" s="1" a="1"/>
  <c r="N36" i="51" s="1"/>
  <c r="K31" i="51"/>
  <c r="N31" i="51" s="1" a="1"/>
  <c r="N31" i="51" s="1"/>
  <c r="K5" i="51"/>
  <c r="N5" i="51" s="1" a="1"/>
  <c r="N5" i="51" s="1"/>
  <c r="K8" i="51"/>
  <c r="N8" i="51" s="1" a="1"/>
  <c r="N8" i="51" s="1"/>
  <c r="K20" i="51"/>
  <c r="N20" i="51" s="1" a="1"/>
  <c r="N20" i="51" s="1"/>
  <c r="K24" i="51"/>
  <c r="N24" i="51" s="1" a="1"/>
  <c r="N24" i="51" s="1"/>
  <c r="K29" i="51"/>
  <c r="N29" i="51" s="1" a="1"/>
  <c r="N29" i="51" s="1"/>
  <c r="K33" i="51"/>
  <c r="N33" i="51" s="1" a="1"/>
  <c r="N33" i="51" s="1"/>
  <c r="K37" i="51"/>
  <c r="N37" i="51" s="1" a="1"/>
  <c r="N37" i="51" s="1"/>
  <c r="K18" i="51"/>
  <c r="N18" i="51" s="1" a="1"/>
  <c r="N18" i="51" s="1"/>
  <c r="K35" i="51"/>
  <c r="N35" i="51" s="1" a="1"/>
  <c r="N35" i="51" s="1"/>
  <c r="C4" i="1"/>
  <c r="G4" i="1"/>
  <c r="M6" i="1"/>
  <c r="M11" i="1"/>
  <c r="M18" i="1"/>
  <c r="M27" i="1"/>
  <c r="M35" i="1"/>
  <c r="C8" i="1"/>
  <c r="D10" i="1"/>
  <c r="D35" i="1"/>
  <c r="E24" i="1"/>
  <c r="F7" i="1"/>
  <c r="F31" i="1"/>
  <c r="G20" i="1"/>
  <c r="G24" i="1"/>
  <c r="M12" i="1"/>
  <c r="M17" i="1"/>
  <c r="M22" i="1"/>
  <c r="M31" i="1"/>
  <c r="C16" i="1"/>
  <c r="C18" i="1"/>
  <c r="C22" i="1"/>
  <c r="D27" i="1"/>
  <c r="D31" i="1"/>
  <c r="E8" i="1"/>
  <c r="E9" i="1"/>
  <c r="E14" i="1"/>
  <c r="E20" i="1"/>
  <c r="F8" i="1"/>
  <c r="F15" i="1"/>
  <c r="F27" i="1"/>
  <c r="F35" i="1"/>
  <c r="G9" i="1"/>
  <c r="G14" i="1"/>
  <c r="M13" i="1"/>
  <c r="M21" i="1"/>
  <c r="G28" i="1"/>
  <c r="G36" i="1"/>
  <c r="M9" i="1"/>
  <c r="M15" i="1"/>
  <c r="M29" i="1"/>
  <c r="M33" i="1"/>
  <c r="M37" i="1"/>
  <c r="C24" i="1"/>
  <c r="D8" i="1"/>
  <c r="D12" i="1"/>
  <c r="F29" i="1"/>
  <c r="F37" i="1"/>
  <c r="G22" i="1"/>
  <c r="M7" i="1"/>
  <c r="M19" i="1"/>
  <c r="M25" i="1"/>
  <c r="C26" i="1"/>
  <c r="F9" i="1"/>
  <c r="F21" i="1"/>
  <c r="M5" i="1"/>
  <c r="M23" i="1"/>
  <c r="C14" i="1"/>
  <c r="C28" i="1"/>
  <c r="C32" i="1"/>
  <c r="C36" i="1"/>
  <c r="F5" i="1"/>
  <c r="F11" i="1"/>
  <c r="F13" i="1"/>
  <c r="F23" i="1"/>
  <c r="G26" i="1"/>
  <c r="G30" i="1"/>
  <c r="G34" i="1"/>
  <c r="G38" i="1"/>
  <c r="C12" i="1"/>
  <c r="C21" i="1"/>
  <c r="C25" i="1"/>
  <c r="C30" i="1"/>
  <c r="C38" i="1"/>
  <c r="D5" i="1"/>
  <c r="D21" i="1"/>
  <c r="D26" i="1"/>
  <c r="D34" i="1"/>
  <c r="F26" i="1"/>
  <c r="F34" i="1"/>
  <c r="G32" i="1"/>
  <c r="C5" i="1"/>
  <c r="C13" i="1"/>
  <c r="C20" i="1"/>
  <c r="C29" i="1"/>
  <c r="C37" i="1"/>
  <c r="D14" i="1"/>
  <c r="D19" i="1"/>
  <c r="D24" i="1"/>
  <c r="D29" i="1"/>
  <c r="D37" i="1"/>
  <c r="E11" i="1"/>
  <c r="E17" i="1"/>
  <c r="C9" i="1"/>
  <c r="C19" i="1"/>
  <c r="C34" i="1"/>
  <c r="D30" i="1"/>
  <c r="D38" i="1"/>
  <c r="E10" i="1"/>
  <c r="E23" i="1"/>
  <c r="E28" i="1"/>
  <c r="E36" i="1"/>
  <c r="F16" i="1"/>
  <c r="F25" i="1"/>
  <c r="F30" i="1"/>
  <c r="F38" i="1"/>
  <c r="G5" i="1"/>
  <c r="G16" i="1"/>
  <c r="G23" i="1"/>
  <c r="C33" i="1"/>
  <c r="D6" i="1"/>
  <c r="D18" i="1"/>
  <c r="D20" i="1"/>
  <c r="D33" i="1"/>
  <c r="E6" i="1"/>
  <c r="E18" i="1"/>
  <c r="E27" i="1"/>
  <c r="E31" i="1"/>
  <c r="E35" i="1"/>
  <c r="F17" i="1"/>
  <c r="F18" i="1"/>
  <c r="F19" i="1"/>
  <c r="F20" i="1"/>
  <c r="F24" i="1"/>
  <c r="F33" i="1"/>
  <c r="G12" i="1"/>
  <c r="G17" i="1"/>
  <c r="G18" i="1"/>
  <c r="G27" i="1"/>
  <c r="G31" i="1"/>
  <c r="G35" i="1"/>
  <c r="C23" i="1"/>
  <c r="D28" i="1"/>
  <c r="D32" i="1"/>
  <c r="D36" i="1"/>
  <c r="E13" i="1"/>
  <c r="E19" i="1"/>
  <c r="E21" i="1"/>
  <c r="E25" i="1"/>
  <c r="F14" i="1"/>
  <c r="F28" i="1"/>
  <c r="F32" i="1"/>
  <c r="F36" i="1"/>
  <c r="G19" i="1"/>
  <c r="G21" i="1"/>
  <c r="G25" i="1"/>
  <c r="C15" i="1"/>
  <c r="C17" i="1"/>
  <c r="C27" i="1"/>
  <c r="C31" i="1"/>
  <c r="C35" i="1"/>
  <c r="D16" i="1"/>
  <c r="D22" i="1"/>
  <c r="E15" i="1"/>
  <c r="E29" i="1"/>
  <c r="E33" i="1"/>
  <c r="E37" i="1"/>
  <c r="F22" i="1"/>
  <c r="G15" i="1"/>
  <c r="G29" i="1"/>
  <c r="G33" i="1"/>
  <c r="G37" i="1"/>
  <c r="G27" i="38"/>
  <c r="G26" i="38" s="1"/>
  <c r="G27" i="42"/>
  <c r="G26" i="42" s="1"/>
  <c r="G27" i="43"/>
  <c r="G26" i="43" s="1"/>
  <c r="G7" i="45"/>
  <c r="H7" i="45" s="1"/>
  <c r="G10" i="46"/>
  <c r="H10" i="46" s="1"/>
  <c r="G13" i="43"/>
  <c r="H13" i="43" s="1"/>
  <c r="G22" i="44"/>
  <c r="I23" i="44" s="1"/>
  <c r="G20" i="43"/>
  <c r="H20" i="43" s="1"/>
  <c r="G8" i="43"/>
  <c r="H8" i="43" s="1"/>
  <c r="G10" i="44"/>
  <c r="H10" i="44" s="1"/>
  <c r="G17" i="44"/>
  <c r="H17" i="44" s="1"/>
  <c r="G16" i="45"/>
  <c r="H16" i="45" s="1"/>
  <c r="G16" i="46"/>
  <c r="H16" i="46" s="1"/>
  <c r="G20" i="45"/>
  <c r="H20" i="45" s="1"/>
  <c r="G27" i="45"/>
  <c r="G26" i="45" s="1"/>
  <c r="B57" i="47"/>
  <c r="D56" i="47"/>
  <c r="B56" i="47" s="1"/>
  <c r="D48" i="47"/>
  <c r="B48" i="47" s="1"/>
  <c r="D52" i="47"/>
  <c r="G27" i="44"/>
  <c r="G26" i="44" s="1"/>
  <c r="B54" i="45"/>
  <c r="D46" i="43"/>
  <c r="B46" i="43" s="1"/>
  <c r="B49" i="43"/>
  <c r="D45" i="44"/>
  <c r="B45" i="44" s="1"/>
  <c r="G14" i="45"/>
  <c r="H14" i="45" s="1"/>
  <c r="G19" i="45"/>
  <c r="H19" i="45" s="1"/>
  <c r="G22" i="45"/>
  <c r="I23" i="45" s="1"/>
  <c r="D45" i="46"/>
  <c r="B45" i="46" s="1"/>
  <c r="G17" i="46"/>
  <c r="H17" i="46" s="1"/>
  <c r="D55" i="46"/>
  <c r="B55" i="46" s="1"/>
  <c r="G10" i="47"/>
  <c r="G22" i="47"/>
  <c r="I23" i="47" s="1"/>
  <c r="G20" i="47"/>
  <c r="H20" i="47" s="1"/>
  <c r="G15" i="47"/>
  <c r="H15" i="47" s="1"/>
  <c r="G14" i="47"/>
  <c r="H14" i="47" s="1"/>
  <c r="G13" i="47"/>
  <c r="G11" i="47"/>
  <c r="H11" i="47" s="1"/>
  <c r="G8" i="47"/>
  <c r="H8" i="47" s="1"/>
  <c r="D49" i="47"/>
  <c r="B49" i="47" s="1"/>
  <c r="B52" i="47"/>
  <c r="D51" i="47"/>
  <c r="B51" i="47" s="1"/>
  <c r="G17" i="47"/>
  <c r="H17" i="47" s="1"/>
  <c r="G23" i="48"/>
  <c r="H23" i="48" s="1"/>
  <c r="G9" i="48"/>
  <c r="H9" i="48" s="1"/>
  <c r="G18" i="48"/>
  <c r="H18" i="48" s="1"/>
  <c r="G15" i="49"/>
  <c r="H15" i="49" s="1"/>
  <c r="G23" i="49"/>
  <c r="H23" i="49" s="1"/>
  <c r="G18" i="49"/>
  <c r="H18" i="49" s="1"/>
  <c r="D44" i="49"/>
  <c r="G10" i="43"/>
  <c r="H10" i="43" s="1"/>
  <c r="G17" i="43"/>
  <c r="H17" i="43" s="1"/>
  <c r="B44" i="43"/>
  <c r="D45" i="43"/>
  <c r="B45" i="43" s="1"/>
  <c r="B48" i="43"/>
  <c r="D53" i="43"/>
  <c r="B53" i="43" s="1"/>
  <c r="G7" i="44"/>
  <c r="H7" i="44" s="1"/>
  <c r="G14" i="44"/>
  <c r="H14" i="44" s="1"/>
  <c r="G19" i="44"/>
  <c r="H19" i="44" s="1"/>
  <c r="D44" i="44"/>
  <c r="B44" i="44" s="1"/>
  <c r="B47" i="44"/>
  <c r="B51" i="44"/>
  <c r="D52" i="44"/>
  <c r="B52" i="44" s="1"/>
  <c r="B55" i="44"/>
  <c r="D56" i="44"/>
  <c r="B56" i="44" s="1"/>
  <c r="G23" i="45"/>
  <c r="H23" i="45" s="1"/>
  <c r="G11" i="45"/>
  <c r="H11" i="45" s="1"/>
  <c r="D44" i="45"/>
  <c r="B44" i="45" s="1"/>
  <c r="B47" i="45"/>
  <c r="D48" i="45"/>
  <c r="B48" i="45" s="1"/>
  <c r="D52" i="45"/>
  <c r="B52" i="45" s="1"/>
  <c r="B55" i="45"/>
  <c r="D56" i="45"/>
  <c r="B56" i="45" s="1"/>
  <c r="G23" i="46"/>
  <c r="H23" i="46" s="1"/>
  <c r="G21" i="46"/>
  <c r="H21" i="46" s="1"/>
  <c r="G18" i="46"/>
  <c r="H18" i="46" s="1"/>
  <c r="G12" i="46"/>
  <c r="H12" i="46" s="1"/>
  <c r="G22" i="46"/>
  <c r="G15" i="46"/>
  <c r="H15" i="46" s="1"/>
  <c r="G9" i="46"/>
  <c r="H9" i="46" s="1"/>
  <c r="D43" i="46"/>
  <c r="B43" i="46" s="1"/>
  <c r="G7" i="46"/>
  <c r="B48" i="46"/>
  <c r="D47" i="46"/>
  <c r="B47" i="46" s="1"/>
  <c r="G14" i="46"/>
  <c r="H14" i="46" s="1"/>
  <c r="G19" i="46"/>
  <c r="D44" i="46"/>
  <c r="B44" i="46" s="1"/>
  <c r="D46" i="46"/>
  <c r="B46" i="46" s="1"/>
  <c r="D50" i="46"/>
  <c r="B50" i="46" s="1"/>
  <c r="D52" i="46"/>
  <c r="B52" i="46" s="1"/>
  <c r="D54" i="46"/>
  <c r="B54" i="46" s="1"/>
  <c r="D56" i="46"/>
  <c r="B56" i="46" s="1"/>
  <c r="D47" i="47"/>
  <c r="G19" i="47"/>
  <c r="D45" i="47"/>
  <c r="B45" i="47" s="1"/>
  <c r="D44" i="48"/>
  <c r="D51" i="48"/>
  <c r="B51" i="48" s="1"/>
  <c r="D50" i="48"/>
  <c r="B50" i="48" s="1"/>
  <c r="G15" i="43"/>
  <c r="H15" i="43" s="1"/>
  <c r="G9" i="43"/>
  <c r="H9" i="43" s="1"/>
  <c r="G21" i="43"/>
  <c r="H21" i="43" s="1"/>
  <c r="G18" i="43"/>
  <c r="H18" i="43" s="1"/>
  <c r="G12" i="43"/>
  <c r="H12" i="43" s="1"/>
  <c r="G23" i="43"/>
  <c r="H23" i="43" s="1"/>
  <c r="G7" i="43"/>
  <c r="G14" i="43"/>
  <c r="G19" i="43"/>
  <c r="H19" i="43" s="1"/>
  <c r="G22" i="43"/>
  <c r="I23" i="43" s="1"/>
  <c r="G23" i="44"/>
  <c r="H23" i="44" s="1"/>
  <c r="G11" i="44"/>
  <c r="H11" i="44" s="1"/>
  <c r="G16" i="44"/>
  <c r="H16" i="44" s="1"/>
  <c r="G8" i="45"/>
  <c r="G13" i="45"/>
  <c r="H13" i="45" s="1"/>
  <c r="G15" i="45"/>
  <c r="H15" i="45" s="1"/>
  <c r="G9" i="45"/>
  <c r="H9" i="45" s="1"/>
  <c r="G21" i="45"/>
  <c r="H21" i="45" s="1"/>
  <c r="G18" i="45"/>
  <c r="H18" i="45" s="1"/>
  <c r="G12" i="45"/>
  <c r="H12" i="45" s="1"/>
  <c r="G27" i="46"/>
  <c r="G26" i="46" s="1"/>
  <c r="G11" i="46"/>
  <c r="H11" i="46" s="1"/>
  <c r="D49" i="46"/>
  <c r="B49" i="46" s="1"/>
  <c r="D51" i="46"/>
  <c r="B51" i="46" s="1"/>
  <c r="G7" i="47"/>
  <c r="G9" i="47"/>
  <c r="H9" i="47" s="1"/>
  <c r="D50" i="47"/>
  <c r="B50" i="47" s="1"/>
  <c r="B57" i="48"/>
  <c r="D56" i="48"/>
  <c r="B56" i="48" s="1"/>
  <c r="D53" i="49"/>
  <c r="B53" i="49" s="1"/>
  <c r="G11" i="43"/>
  <c r="H11" i="43" s="1"/>
  <c r="G16" i="43"/>
  <c r="G8" i="44"/>
  <c r="H8" i="44" s="1"/>
  <c r="G13" i="44"/>
  <c r="H13" i="44" s="1"/>
  <c r="G20" i="44"/>
  <c r="H20" i="44" s="1"/>
  <c r="G21" i="44"/>
  <c r="H21" i="44" s="1"/>
  <c r="G18" i="44"/>
  <c r="H18" i="44" s="1"/>
  <c r="G12" i="44"/>
  <c r="H12" i="44" s="1"/>
  <c r="G15" i="44"/>
  <c r="H15" i="44" s="1"/>
  <c r="G9" i="44"/>
  <c r="H9" i="44" s="1"/>
  <c r="G10" i="45"/>
  <c r="G17" i="45"/>
  <c r="H17" i="45" s="1"/>
  <c r="G8" i="46"/>
  <c r="H8" i="46" s="1"/>
  <c r="G13" i="46"/>
  <c r="D53" i="46"/>
  <c r="B53" i="46" s="1"/>
  <c r="G20" i="46"/>
  <c r="H20" i="46" s="1"/>
  <c r="G27" i="47"/>
  <c r="G26" i="47" s="1"/>
  <c r="D44" i="47"/>
  <c r="B44" i="47" s="1"/>
  <c r="B47" i="47"/>
  <c r="D46" i="47"/>
  <c r="B46" i="47" s="1"/>
  <c r="G16" i="47"/>
  <c r="H16" i="47" s="1"/>
  <c r="G23" i="47"/>
  <c r="H23" i="47" s="1"/>
  <c r="D43" i="47"/>
  <c r="B43" i="47" s="1"/>
  <c r="D52" i="49"/>
  <c r="D54" i="49"/>
  <c r="B54" i="49" s="1"/>
  <c r="D56" i="49"/>
  <c r="B56" i="49" s="1"/>
  <c r="B57" i="49"/>
  <c r="D43" i="49"/>
  <c r="B44" i="49"/>
  <c r="D51" i="49"/>
  <c r="B51" i="49" s="1"/>
  <c r="B52" i="49"/>
  <c r="G23" i="42"/>
  <c r="H23" i="42" s="1"/>
  <c r="D49" i="48"/>
  <c r="B49" i="48" s="1"/>
  <c r="D48" i="48"/>
  <c r="B48" i="48" s="1"/>
  <c r="D50" i="49"/>
  <c r="B50" i="49" s="1"/>
  <c r="D49" i="49"/>
  <c r="D53" i="47"/>
  <c r="B53" i="47" s="1"/>
  <c r="D45" i="48"/>
  <c r="B45" i="48" s="1"/>
  <c r="D47" i="48"/>
  <c r="B47" i="48" s="1"/>
  <c r="D55" i="48"/>
  <c r="B55" i="48" s="1"/>
  <c r="D46" i="48"/>
  <c r="B46" i="48" s="1"/>
  <c r="D54" i="48"/>
  <c r="G27" i="49"/>
  <c r="G26" i="49" s="1"/>
  <c r="D48" i="49"/>
  <c r="B48" i="49" s="1"/>
  <c r="B49" i="49"/>
  <c r="D47" i="49"/>
  <c r="D55" i="49"/>
  <c r="B55" i="49" s="1"/>
  <c r="B55" i="47"/>
  <c r="D54" i="47"/>
  <c r="B54" i="47" s="1"/>
  <c r="G27" i="48"/>
  <c r="G26" i="48" s="1"/>
  <c r="G8" i="48"/>
  <c r="H8" i="48" s="1"/>
  <c r="G7" i="48"/>
  <c r="G21" i="48"/>
  <c r="H21" i="48" s="1"/>
  <c r="G12" i="48"/>
  <c r="H12" i="48" s="1"/>
  <c r="G15" i="48"/>
  <c r="H15" i="48" s="1"/>
  <c r="B44" i="48"/>
  <c r="D43" i="48"/>
  <c r="B43" i="48" s="1"/>
  <c r="B54" i="48"/>
  <c r="D53" i="48"/>
  <c r="B53" i="48"/>
  <c r="D52" i="48"/>
  <c r="B52" i="48" s="1"/>
  <c r="G9" i="49"/>
  <c r="H9" i="49" s="1"/>
  <c r="D46" i="49"/>
  <c r="B46" i="49" s="1"/>
  <c r="B47" i="49"/>
  <c r="D45" i="49"/>
  <c r="B45" i="49" s="1"/>
  <c r="G12" i="47"/>
  <c r="H12" i="47" s="1"/>
  <c r="G18" i="47"/>
  <c r="H18" i="47" s="1"/>
  <c r="G21" i="47"/>
  <c r="H21" i="47" s="1"/>
  <c r="G22" i="48"/>
  <c r="G22" i="49"/>
  <c r="G12" i="49"/>
  <c r="H12" i="49" s="1"/>
  <c r="G21" i="49"/>
  <c r="H21" i="49" s="1"/>
  <c r="B43" i="49"/>
  <c r="G20" i="48"/>
  <c r="H20" i="48" s="1"/>
  <c r="G10" i="48"/>
  <c r="G11" i="48"/>
  <c r="H11" i="48" s="1"/>
  <c r="G16" i="48"/>
  <c r="G17" i="48"/>
  <c r="H17" i="48" s="1"/>
  <c r="G7" i="49"/>
  <c r="G8" i="49"/>
  <c r="H8" i="49" s="1"/>
  <c r="G13" i="49"/>
  <c r="G14" i="49"/>
  <c r="H14" i="49" s="1"/>
  <c r="G19" i="49"/>
  <c r="G20" i="49"/>
  <c r="H20" i="49" s="1"/>
  <c r="G13" i="48"/>
  <c r="G14" i="48"/>
  <c r="H14" i="48" s="1"/>
  <c r="G19" i="48"/>
  <c r="G10" i="49"/>
  <c r="G11" i="49"/>
  <c r="H11" i="49" s="1"/>
  <c r="G16" i="49"/>
  <c r="G17" i="49"/>
  <c r="H17" i="49" s="1"/>
  <c r="G22" i="42"/>
  <c r="H22" i="42" s="1"/>
  <c r="I22" i="42" s="1"/>
  <c r="D45" i="42"/>
  <c r="B45" i="42" s="1"/>
  <c r="D49" i="42"/>
  <c r="D53" i="42"/>
  <c r="B53" i="42" s="1"/>
  <c r="D43" i="42"/>
  <c r="B43" i="42" s="1"/>
  <c r="D46" i="42"/>
  <c r="B46" i="42" s="1"/>
  <c r="D50" i="42"/>
  <c r="B50" i="42" s="1"/>
  <c r="D54" i="42"/>
  <c r="B54" i="42" s="1"/>
  <c r="D47" i="42"/>
  <c r="B47" i="42" s="1"/>
  <c r="D51" i="42"/>
  <c r="B51" i="42" s="1"/>
  <c r="D55" i="42"/>
  <c r="B55" i="42" s="1"/>
  <c r="D44" i="42"/>
  <c r="B44" i="42" s="1"/>
  <c r="D48" i="42"/>
  <c r="B48" i="42" s="1"/>
  <c r="B49" i="42"/>
  <c r="D52" i="42"/>
  <c r="B52" i="42" s="1"/>
  <c r="D56" i="42"/>
  <c r="B56" i="42" s="1"/>
  <c r="B57" i="42"/>
  <c r="G12" i="42"/>
  <c r="H12" i="42" s="1"/>
  <c r="G18" i="42"/>
  <c r="H18" i="42" s="1"/>
  <c r="G21" i="42"/>
  <c r="H21" i="42" s="1"/>
  <c r="G7" i="42"/>
  <c r="G8" i="42"/>
  <c r="H8" i="42" s="1"/>
  <c r="G13" i="42"/>
  <c r="G14" i="42"/>
  <c r="H14" i="42" s="1"/>
  <c r="G19" i="42"/>
  <c r="G20" i="42"/>
  <c r="H20" i="42" s="1"/>
  <c r="G9" i="42"/>
  <c r="H9" i="42" s="1"/>
  <c r="G15" i="42"/>
  <c r="H15" i="42" s="1"/>
  <c r="G10" i="42"/>
  <c r="G11" i="42"/>
  <c r="H11" i="42" s="1"/>
  <c r="G16" i="42"/>
  <c r="G17" i="42"/>
  <c r="H17" i="42" s="1"/>
  <c r="G23" i="41"/>
  <c r="H23" i="41" s="1"/>
  <c r="G22" i="41"/>
  <c r="I23" i="41" s="1"/>
  <c r="G20" i="41"/>
  <c r="H20" i="41" s="1"/>
  <c r="D46" i="41"/>
  <c r="D56" i="41"/>
  <c r="B56" i="41" s="1"/>
  <c r="B57" i="41"/>
  <c r="D47" i="41"/>
  <c r="B47" i="41" s="1"/>
  <c r="D52" i="41"/>
  <c r="G27" i="41"/>
  <c r="G26" i="41" s="1"/>
  <c r="D43" i="41"/>
  <c r="B43" i="41" s="1"/>
  <c r="D44" i="41"/>
  <c r="B44" i="41" s="1"/>
  <c r="D45" i="41"/>
  <c r="B45" i="41" s="1"/>
  <c r="B46" i="41"/>
  <c r="D48" i="41"/>
  <c r="B48" i="41" s="1"/>
  <c r="D49" i="41"/>
  <c r="B49" i="41" s="1"/>
  <c r="D53" i="41"/>
  <c r="B53" i="41" s="1"/>
  <c r="D50" i="41"/>
  <c r="B50" i="41" s="1"/>
  <c r="D51" i="41"/>
  <c r="B51" i="41" s="1"/>
  <c r="B52" i="41"/>
  <c r="D54" i="41"/>
  <c r="B54" i="41" s="1"/>
  <c r="D55" i="41"/>
  <c r="B55" i="41" s="1"/>
  <c r="G21" i="41"/>
  <c r="H21" i="41" s="1"/>
  <c r="G19" i="41"/>
  <c r="H19" i="41" s="1"/>
  <c r="G9" i="41"/>
  <c r="H9" i="41" s="1"/>
  <c r="G15" i="41"/>
  <c r="H15" i="41" s="1"/>
  <c r="G12" i="41"/>
  <c r="H12" i="41" s="1"/>
  <c r="G18" i="41"/>
  <c r="H18" i="41" s="1"/>
  <c r="G7" i="41"/>
  <c r="G8" i="41"/>
  <c r="H8" i="41" s="1"/>
  <c r="G13" i="41"/>
  <c r="G14" i="41"/>
  <c r="H14" i="41" s="1"/>
  <c r="G10" i="41"/>
  <c r="G11" i="41"/>
  <c r="H11" i="41" s="1"/>
  <c r="G16" i="41"/>
  <c r="G17" i="41"/>
  <c r="H17" i="41" s="1"/>
  <c r="G22" i="40"/>
  <c r="I23" i="40" s="1"/>
  <c r="G9" i="40"/>
  <c r="H9" i="40" s="1"/>
  <c r="D52" i="40"/>
  <c r="B52" i="40" s="1"/>
  <c r="D45" i="40"/>
  <c r="B45" i="40" s="1"/>
  <c r="D49" i="40"/>
  <c r="B49" i="40" s="1"/>
  <c r="D53" i="40"/>
  <c r="B53" i="40" s="1"/>
  <c r="D44" i="40"/>
  <c r="B44" i="40" s="1"/>
  <c r="D48" i="40"/>
  <c r="B48" i="40" s="1"/>
  <c r="D56" i="40"/>
  <c r="B57" i="40"/>
  <c r="D43" i="40"/>
  <c r="B43" i="40" s="1"/>
  <c r="D46" i="40"/>
  <c r="B46" i="40" s="1"/>
  <c r="D50" i="40"/>
  <c r="B50" i="40" s="1"/>
  <c r="D54" i="40"/>
  <c r="B54" i="40" s="1"/>
  <c r="G27" i="40"/>
  <c r="G26" i="40" s="1"/>
  <c r="D47" i="40"/>
  <c r="B47" i="40" s="1"/>
  <c r="D51" i="40"/>
  <c r="B51" i="40" s="1"/>
  <c r="D55" i="40"/>
  <c r="B55" i="40" s="1"/>
  <c r="B56" i="40"/>
  <c r="G12" i="40"/>
  <c r="H12" i="40" s="1"/>
  <c r="G21" i="40"/>
  <c r="H21" i="40" s="1"/>
  <c r="G7" i="40"/>
  <c r="G8" i="40"/>
  <c r="H8" i="40" s="1"/>
  <c r="G13" i="40"/>
  <c r="G14" i="40"/>
  <c r="H14" i="40" s="1"/>
  <c r="G19" i="40"/>
  <c r="G20" i="40"/>
  <c r="H20" i="40" s="1"/>
  <c r="G18" i="40"/>
  <c r="H18" i="40" s="1"/>
  <c r="G15" i="40"/>
  <c r="H15" i="40" s="1"/>
  <c r="G23" i="40"/>
  <c r="H23" i="40" s="1"/>
  <c r="G10" i="40"/>
  <c r="G11" i="40"/>
  <c r="H11" i="40" s="1"/>
  <c r="G16" i="40"/>
  <c r="G17" i="40"/>
  <c r="H17" i="40" s="1"/>
  <c r="G22" i="38"/>
  <c r="H22" i="38" s="1"/>
  <c r="I22" i="38" s="1"/>
  <c r="G11" i="38"/>
  <c r="H11" i="38" s="1"/>
  <c r="G23" i="39"/>
  <c r="H23" i="39" s="1"/>
  <c r="G16" i="38"/>
  <c r="H16" i="38" s="1"/>
  <c r="G7" i="39"/>
  <c r="H7" i="39" s="1"/>
  <c r="G8" i="39"/>
  <c r="H8" i="39" s="1"/>
  <c r="G20" i="39"/>
  <c r="H20" i="39" s="1"/>
  <c r="B44" i="38"/>
  <c r="D50" i="38"/>
  <c r="B50" i="38" s="1"/>
  <c r="D52" i="38"/>
  <c r="B52" i="38" s="1"/>
  <c r="D55" i="38"/>
  <c r="B55" i="38" s="1"/>
  <c r="G27" i="39"/>
  <c r="G26" i="39" s="1"/>
  <c r="D43" i="39"/>
  <c r="B43" i="39" s="1"/>
  <c r="D44" i="39"/>
  <c r="B44" i="39" s="1"/>
  <c r="D46" i="39"/>
  <c r="D49" i="39"/>
  <c r="B49" i="39" s="1"/>
  <c r="D56" i="39"/>
  <c r="B57" i="39"/>
  <c r="D47" i="38"/>
  <c r="B47" i="38" s="1"/>
  <c r="D52" i="39"/>
  <c r="B52" i="39" s="1"/>
  <c r="B56" i="39"/>
  <c r="D55" i="39"/>
  <c r="B55" i="39" s="1"/>
  <c r="D48" i="38"/>
  <c r="B48" i="38" s="1"/>
  <c r="G23" i="38"/>
  <c r="H23" i="38" s="1"/>
  <c r="G15" i="38"/>
  <c r="H15" i="38" s="1"/>
  <c r="G9" i="38"/>
  <c r="H9" i="38" s="1"/>
  <c r="G20" i="38"/>
  <c r="H20" i="38" s="1"/>
  <c r="G19" i="38"/>
  <c r="G14" i="38"/>
  <c r="H14" i="38" s="1"/>
  <c r="G13" i="38"/>
  <c r="G8" i="38"/>
  <c r="H8" i="38" s="1"/>
  <c r="G7" i="38"/>
  <c r="G21" i="38"/>
  <c r="H21" i="38" s="1"/>
  <c r="G18" i="38"/>
  <c r="H18" i="38" s="1"/>
  <c r="G12" i="38"/>
  <c r="H12" i="38" s="1"/>
  <c r="D53" i="38"/>
  <c r="B53" i="38" s="1"/>
  <c r="G17" i="38"/>
  <c r="H17" i="38" s="1"/>
  <c r="D45" i="39"/>
  <c r="B45" i="39" s="1"/>
  <c r="B46" i="39"/>
  <c r="D50" i="39"/>
  <c r="B50" i="39" s="1"/>
  <c r="D51" i="39"/>
  <c r="B51" i="39" s="1"/>
  <c r="D53" i="39"/>
  <c r="B53" i="39" s="1"/>
  <c r="D48" i="39"/>
  <c r="B48" i="39" s="1"/>
  <c r="D46" i="38"/>
  <c r="B46" i="38" s="1"/>
  <c r="G10" i="38"/>
  <c r="D49" i="38"/>
  <c r="B49" i="38" s="1"/>
  <c r="D51" i="38"/>
  <c r="B51" i="38" s="1"/>
  <c r="D54" i="38"/>
  <c r="B54" i="38" s="1"/>
  <c r="B57" i="38"/>
  <c r="D56" i="38"/>
  <c r="B56" i="38" s="1"/>
  <c r="D43" i="38"/>
  <c r="B43" i="38" s="1"/>
  <c r="D45" i="38"/>
  <c r="B45" i="38" s="1"/>
  <c r="D47" i="39"/>
  <c r="B47" i="39" s="1"/>
  <c r="D54" i="39"/>
  <c r="B54" i="39" s="1"/>
  <c r="G14" i="39"/>
  <c r="H14" i="39" s="1"/>
  <c r="G19" i="39"/>
  <c r="H19" i="39" s="1"/>
  <c r="G9" i="39"/>
  <c r="H9" i="39" s="1"/>
  <c r="G15" i="39"/>
  <c r="H15" i="39" s="1"/>
  <c r="G13" i="39"/>
  <c r="G10" i="39"/>
  <c r="H10" i="39" s="1"/>
  <c r="G11" i="39"/>
  <c r="H11" i="39" s="1"/>
  <c r="G16" i="39"/>
  <c r="H16" i="39" s="1"/>
  <c r="G17" i="39"/>
  <c r="H17" i="39" s="1"/>
  <c r="G22" i="39"/>
  <c r="I23" i="39" s="1"/>
  <c r="G12" i="39"/>
  <c r="H12" i="39" s="1"/>
  <c r="G18" i="39"/>
  <c r="H18" i="39" s="1"/>
  <c r="G21" i="39"/>
  <c r="H21" i="39" s="1"/>
  <c r="G22" i="37"/>
  <c r="H22" i="37" s="1"/>
  <c r="I22" i="37" s="1"/>
  <c r="G23" i="37"/>
  <c r="H23" i="37" s="1"/>
  <c r="G9" i="37"/>
  <c r="H9" i="37" s="1"/>
  <c r="D47" i="37"/>
  <c r="B47" i="37" s="1"/>
  <c r="D51" i="37"/>
  <c r="B51" i="37" s="1"/>
  <c r="D45" i="37"/>
  <c r="B45" i="37" s="1"/>
  <c r="D49" i="37"/>
  <c r="D53" i="37"/>
  <c r="B53" i="37" s="1"/>
  <c r="D55" i="37"/>
  <c r="B55" i="37" s="1"/>
  <c r="D44" i="37"/>
  <c r="B44" i="37" s="1"/>
  <c r="D48" i="37"/>
  <c r="B48" i="37" s="1"/>
  <c r="B49" i="37"/>
  <c r="D52" i="37"/>
  <c r="B52" i="37" s="1"/>
  <c r="D56" i="37"/>
  <c r="B56" i="37" s="1"/>
  <c r="B57" i="37"/>
  <c r="G27" i="37"/>
  <c r="G26" i="37" s="1"/>
  <c r="D43" i="37"/>
  <c r="B43" i="37" s="1"/>
  <c r="D46" i="37"/>
  <c r="B46" i="37" s="1"/>
  <c r="D50" i="37"/>
  <c r="B50" i="37" s="1"/>
  <c r="D54" i="37"/>
  <c r="B54" i="37" s="1"/>
  <c r="G12" i="37"/>
  <c r="H12" i="37" s="1"/>
  <c r="G18" i="37"/>
  <c r="H18" i="37" s="1"/>
  <c r="G21" i="37"/>
  <c r="H21" i="37" s="1"/>
  <c r="G7" i="37"/>
  <c r="G8" i="37"/>
  <c r="H8" i="37" s="1"/>
  <c r="G13" i="37"/>
  <c r="G14" i="37"/>
  <c r="H14" i="37" s="1"/>
  <c r="G19" i="37"/>
  <c r="G20" i="37"/>
  <c r="H20" i="37" s="1"/>
  <c r="G15" i="37"/>
  <c r="H15" i="37" s="1"/>
  <c r="G10" i="37"/>
  <c r="G11" i="37"/>
  <c r="H11" i="37" s="1"/>
  <c r="G16" i="37"/>
  <c r="G17" i="37"/>
  <c r="H17" i="37" s="1"/>
  <c r="D57" i="5"/>
  <c r="Q19" i="5"/>
  <c r="F44" i="5"/>
  <c r="F45" i="5"/>
  <c r="F46" i="5"/>
  <c r="F47" i="5"/>
  <c r="F48" i="5"/>
  <c r="F49" i="5"/>
  <c r="F50" i="5"/>
  <c r="F51" i="5"/>
  <c r="F52" i="5"/>
  <c r="F53" i="5"/>
  <c r="F54" i="5"/>
  <c r="F55" i="5"/>
  <c r="F56" i="5"/>
  <c r="F57" i="5"/>
  <c r="F58" i="5"/>
  <c r="F43" i="5"/>
  <c r="C43" i="5"/>
  <c r="O18" i="5"/>
  <c r="Q18" i="5" s="1"/>
  <c r="C57" i="5" s="1"/>
  <c r="D56" i="5" s="1"/>
  <c r="O17" i="5"/>
  <c r="Q17" i="5" s="1"/>
  <c r="C56" i="5" s="1"/>
  <c r="D55" i="5" s="1"/>
  <c r="O16" i="5"/>
  <c r="Q16" i="5" s="1"/>
  <c r="C55" i="5" s="1"/>
  <c r="D54" i="5" s="1"/>
  <c r="Q15" i="5"/>
  <c r="C54" i="5" s="1"/>
  <c r="D53" i="5" s="1"/>
  <c r="Q14" i="5"/>
  <c r="C53" i="5" s="1"/>
  <c r="D52" i="5" s="1"/>
  <c r="Q13" i="5"/>
  <c r="C52" i="5" s="1"/>
  <c r="D51" i="5" s="1"/>
  <c r="Q12" i="5"/>
  <c r="C51" i="5" s="1"/>
  <c r="D50" i="5" s="1"/>
  <c r="Q11" i="5"/>
  <c r="C50" i="5" s="1"/>
  <c r="D49" i="5" s="1"/>
  <c r="Q10" i="5"/>
  <c r="C49" i="5" s="1"/>
  <c r="D48" i="5" s="1"/>
  <c r="Q9" i="5"/>
  <c r="C48" i="5" s="1"/>
  <c r="D47" i="5" s="1"/>
  <c r="Q8" i="5"/>
  <c r="C47" i="5" s="1"/>
  <c r="D46" i="5" s="1"/>
  <c r="Q7" i="5"/>
  <c r="C46" i="5" s="1"/>
  <c r="D45" i="5" s="1"/>
  <c r="Q6" i="5"/>
  <c r="C45" i="5" s="1"/>
  <c r="D44" i="5" s="1"/>
  <c r="Q5" i="5"/>
  <c r="C44" i="5" s="1"/>
  <c r="D43" i="5" s="1"/>
  <c r="K7" i="1" l="1"/>
  <c r="O18" i="51"/>
  <c r="O17" i="51"/>
  <c r="O16" i="51"/>
  <c r="O15" i="51"/>
  <c r="O14" i="51"/>
  <c r="O13" i="51"/>
  <c r="O12" i="51"/>
  <c r="O11" i="51"/>
  <c r="O10" i="51"/>
  <c r="O9" i="51"/>
  <c r="O8" i="51"/>
  <c r="O7" i="51"/>
  <c r="O6" i="51"/>
  <c r="O5" i="51"/>
  <c r="O19" i="51"/>
  <c r="O23" i="51"/>
  <c r="O30" i="51"/>
  <c r="O22" i="51"/>
  <c r="O38" i="51"/>
  <c r="O35" i="51"/>
  <c r="O34" i="51"/>
  <c r="O21" i="51"/>
  <c r="O25" i="51"/>
  <c r="O26" i="51"/>
  <c r="O27" i="51"/>
  <c r="O32" i="51"/>
  <c r="O29" i="51"/>
  <c r="O28" i="51"/>
  <c r="O37" i="51"/>
  <c r="O20" i="51"/>
  <c r="O36" i="51"/>
  <c r="O33" i="51"/>
  <c r="O24" i="51"/>
  <c r="O31" i="51"/>
  <c r="K11" i="1"/>
  <c r="K35" i="1"/>
  <c r="K6" i="1"/>
  <c r="K19" i="1"/>
  <c r="K10" i="1"/>
  <c r="K27" i="1"/>
  <c r="K4" i="51"/>
  <c r="N4" i="51" s="1" a="1"/>
  <c r="N4" i="51" s="1"/>
  <c r="K13" i="1"/>
  <c r="K21" i="1"/>
  <c r="K33" i="1"/>
  <c r="K28" i="1"/>
  <c r="K38" i="1"/>
  <c r="K17" i="1"/>
  <c r="K23" i="1"/>
  <c r="K34" i="1"/>
  <c r="K20" i="1"/>
  <c r="K25" i="1"/>
  <c r="K32" i="1"/>
  <c r="K14" i="1"/>
  <c r="K18" i="1"/>
  <c r="K15" i="1"/>
  <c r="K31" i="1"/>
  <c r="K9" i="1"/>
  <c r="K37" i="1"/>
  <c r="K5" i="1"/>
  <c r="K12" i="1"/>
  <c r="K36" i="1"/>
  <c r="K24" i="1"/>
  <c r="K22" i="1"/>
  <c r="K16" i="1"/>
  <c r="K29" i="1"/>
  <c r="K30" i="1"/>
  <c r="K26" i="1"/>
  <c r="K8" i="1"/>
  <c r="K4" i="1"/>
  <c r="L4" i="1"/>
  <c r="H22" i="44"/>
  <c r="I22" i="44" s="1"/>
  <c r="H22" i="47"/>
  <c r="I22" i="47" s="1"/>
  <c r="I12" i="47"/>
  <c r="I18" i="43"/>
  <c r="I9" i="45"/>
  <c r="H8" i="45"/>
  <c r="I8" i="45" s="1"/>
  <c r="I14" i="44"/>
  <c r="I15" i="43"/>
  <c r="I20" i="44"/>
  <c r="I17" i="44"/>
  <c r="I18" i="44"/>
  <c r="H22" i="45"/>
  <c r="I22" i="45" s="1"/>
  <c r="I9" i="43"/>
  <c r="I12" i="46"/>
  <c r="I23" i="48"/>
  <c r="H22" i="48"/>
  <c r="I22" i="48" s="1"/>
  <c r="I17" i="47"/>
  <c r="I15" i="46"/>
  <c r="H13" i="46"/>
  <c r="I14" i="46" s="1"/>
  <c r="I9" i="47"/>
  <c r="H7" i="47"/>
  <c r="I8" i="47" s="1"/>
  <c r="I9" i="46"/>
  <c r="H7" i="46"/>
  <c r="I8" i="46" s="1"/>
  <c r="I12" i="44"/>
  <c r="I18" i="45"/>
  <c r="I12" i="45"/>
  <c r="I20" i="45"/>
  <c r="I21" i="43"/>
  <c r="H22" i="43"/>
  <c r="I22" i="43" s="1"/>
  <c r="I11" i="46"/>
  <c r="H19" i="48"/>
  <c r="I20" i="48" s="1"/>
  <c r="I21" i="48"/>
  <c r="H7" i="49"/>
  <c r="I8" i="49" s="1"/>
  <c r="I9" i="49"/>
  <c r="H10" i="48"/>
  <c r="I11" i="48" s="1"/>
  <c r="I12" i="48"/>
  <c r="I9" i="48"/>
  <c r="H7" i="48"/>
  <c r="I8" i="48" s="1"/>
  <c r="I8" i="44"/>
  <c r="I11" i="44"/>
  <c r="I17" i="45"/>
  <c r="I14" i="45"/>
  <c r="I11" i="43"/>
  <c r="H7" i="43"/>
  <c r="I8" i="43" s="1"/>
  <c r="H14" i="43"/>
  <c r="I14" i="43" s="1"/>
  <c r="H19" i="47"/>
  <c r="I20" i="47" s="1"/>
  <c r="I21" i="47"/>
  <c r="I18" i="46"/>
  <c r="I15" i="48"/>
  <c r="H13" i="48"/>
  <c r="I14" i="48" s="1"/>
  <c r="I15" i="49"/>
  <c r="H13" i="49"/>
  <c r="I14" i="49" s="1"/>
  <c r="I18" i="48"/>
  <c r="H16" i="48"/>
  <c r="I17" i="48" s="1"/>
  <c r="I20" i="43"/>
  <c r="I21" i="46"/>
  <c r="H19" i="46"/>
  <c r="I20" i="46" s="1"/>
  <c r="I12" i="49"/>
  <c r="H10" i="49"/>
  <c r="I11" i="49" s="1"/>
  <c r="H16" i="43"/>
  <c r="I17" i="43" s="1"/>
  <c r="I23" i="46"/>
  <c r="H22" i="46"/>
  <c r="I22" i="46" s="1"/>
  <c r="I21" i="44"/>
  <c r="I21" i="49"/>
  <c r="H19" i="49"/>
  <c r="I20" i="49" s="1"/>
  <c r="I18" i="49"/>
  <c r="H16" i="49"/>
  <c r="I17" i="49" s="1"/>
  <c r="H22" i="49"/>
  <c r="I22" i="49" s="1"/>
  <c r="I23" i="49"/>
  <c r="H10" i="47"/>
  <c r="I11" i="47" s="1"/>
  <c r="I18" i="47"/>
  <c r="I15" i="44"/>
  <c r="H10" i="45"/>
  <c r="I11" i="45" s="1"/>
  <c r="I15" i="45"/>
  <c r="I9" i="44"/>
  <c r="I12" i="43"/>
  <c r="I15" i="47"/>
  <c r="H13" i="47"/>
  <c r="I14" i="47" s="1"/>
  <c r="I21" i="45"/>
  <c r="I17" i="46"/>
  <c r="I23" i="42"/>
  <c r="I18" i="42"/>
  <c r="H16" i="42"/>
  <c r="I17" i="42" s="1"/>
  <c r="H13" i="42"/>
  <c r="I14" i="42" s="1"/>
  <c r="I15" i="42"/>
  <c r="H22" i="40"/>
  <c r="I22" i="40" s="1"/>
  <c r="I12" i="42"/>
  <c r="H10" i="42"/>
  <c r="I11" i="42" s="1"/>
  <c r="I21" i="42"/>
  <c r="H19" i="42"/>
  <c r="I20" i="42" s="1"/>
  <c r="H7" i="42"/>
  <c r="I8" i="42" s="1"/>
  <c r="I9" i="42"/>
  <c r="H22" i="41"/>
  <c r="I22" i="41" s="1"/>
  <c r="I9" i="41"/>
  <c r="I20" i="41"/>
  <c r="I15" i="41"/>
  <c r="H7" i="41"/>
  <c r="I8" i="41" s="1"/>
  <c r="I18" i="41"/>
  <c r="H16" i="41"/>
  <c r="I17" i="41" s="1"/>
  <c r="H10" i="41"/>
  <c r="I11" i="41" s="1"/>
  <c r="I12" i="41"/>
  <c r="H13" i="41"/>
  <c r="I14" i="41" s="1"/>
  <c r="I21" i="41"/>
  <c r="H10" i="40"/>
  <c r="I11" i="40" s="1"/>
  <c r="I12" i="40"/>
  <c r="I21" i="40"/>
  <c r="H19" i="40"/>
  <c r="I20" i="40" s="1"/>
  <c r="I9" i="40"/>
  <c r="H7" i="40"/>
  <c r="I8" i="40" s="1"/>
  <c r="I18" i="40"/>
  <c r="H16" i="40"/>
  <c r="I17" i="40" s="1"/>
  <c r="I23" i="37"/>
  <c r="H13" i="40"/>
  <c r="I14" i="40" s="1"/>
  <c r="I15" i="40"/>
  <c r="H22" i="39"/>
  <c r="I22" i="39" s="1"/>
  <c r="I23" i="38"/>
  <c r="I15" i="39"/>
  <c r="I8" i="39"/>
  <c r="I17" i="39"/>
  <c r="I11" i="39"/>
  <c r="I9" i="39"/>
  <c r="H13" i="39"/>
  <c r="I14" i="39" s="1"/>
  <c r="I21" i="39"/>
  <c r="I21" i="38"/>
  <c r="H19" i="38"/>
  <c r="I20" i="38" s="1"/>
  <c r="I12" i="39"/>
  <c r="I20" i="39"/>
  <c r="I12" i="38"/>
  <c r="H10" i="38"/>
  <c r="I11" i="38" s="1"/>
  <c r="H13" i="38"/>
  <c r="I14" i="38" s="1"/>
  <c r="I15" i="38"/>
  <c r="I17" i="38"/>
  <c r="H7" i="38"/>
  <c r="I8" i="38" s="1"/>
  <c r="I9" i="38"/>
  <c r="I18" i="39"/>
  <c r="I18" i="38"/>
  <c r="I18" i="37"/>
  <c r="H16" i="37"/>
  <c r="I17" i="37" s="1"/>
  <c r="I21" i="37"/>
  <c r="H19" i="37"/>
  <c r="I20" i="37" s="1"/>
  <c r="I9" i="37"/>
  <c r="H7" i="37"/>
  <c r="I8" i="37" s="1"/>
  <c r="I12" i="37"/>
  <c r="H10" i="37"/>
  <c r="I11" i="37" s="1"/>
  <c r="H13" i="37"/>
  <c r="I14" i="37" s="1"/>
  <c r="I15" i="37"/>
  <c r="B43" i="5"/>
  <c r="B51" i="5"/>
  <c r="B47" i="5"/>
  <c r="B55" i="5"/>
  <c r="B44" i="5"/>
  <c r="B48" i="5"/>
  <c r="B52" i="5"/>
  <c r="B56" i="5"/>
  <c r="B45" i="5"/>
  <c r="B49" i="5"/>
  <c r="B53" i="5"/>
  <c r="B57" i="5"/>
  <c r="B46" i="5"/>
  <c r="B50" i="5"/>
  <c r="B54" i="5"/>
  <c r="AG27" i="32"/>
  <c r="F33" i="36" l="1"/>
  <c r="AJ27" i="32" s="1"/>
  <c r="C33" i="36"/>
  <c r="F28" i="27"/>
  <c r="O4" i="51"/>
  <c r="N4" i="1"/>
  <c r="B2" i="27"/>
  <c r="M28" i="27" l="1"/>
  <c r="G28" i="27"/>
  <c r="I28" i="27" s="1"/>
  <c r="A3" i="53"/>
  <c r="A4" i="36"/>
  <c r="J28" i="27" l="1"/>
  <c r="K28" i="27" s="1"/>
  <c r="AH27" i="32"/>
  <c r="C1" i="5"/>
  <c r="C2" i="34"/>
  <c r="C2" i="5"/>
  <c r="B5" i="34"/>
  <c r="B6" i="34"/>
  <c r="B7" i="34"/>
  <c r="B8" i="34"/>
  <c r="B9" i="34"/>
  <c r="B10" i="34"/>
  <c r="B11" i="34"/>
  <c r="B12" i="34"/>
  <c r="B13" i="34"/>
  <c r="B14" i="34"/>
  <c r="B15" i="34"/>
  <c r="B16" i="34"/>
  <c r="B17" i="34"/>
  <c r="B18" i="34"/>
  <c r="B19" i="34"/>
  <c r="B20" i="34"/>
  <c r="B21" i="34"/>
  <c r="B22" i="34"/>
  <c r="B23" i="34"/>
  <c r="B24" i="34"/>
  <c r="B25" i="34"/>
  <c r="B26" i="34"/>
  <c r="B27" i="34"/>
  <c r="B28" i="34"/>
  <c r="B29" i="34"/>
  <c r="B30" i="34"/>
  <c r="B31" i="34"/>
  <c r="B32" i="34"/>
  <c r="B33" i="34"/>
  <c r="B34" i="34"/>
  <c r="B35" i="34"/>
  <c r="B36" i="34"/>
  <c r="B37" i="34"/>
  <c r="B38" i="34"/>
  <c r="B4" i="34"/>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11" i="36"/>
  <c r="B7" i="27"/>
  <c r="B8" i="27"/>
  <c r="B9" i="27"/>
  <c r="B10" i="27"/>
  <c r="B11" i="27"/>
  <c r="B12" i="27"/>
  <c r="B13" i="27"/>
  <c r="B14" i="27"/>
  <c r="B15" i="27"/>
  <c r="B16" i="27"/>
  <c r="B17" i="27"/>
  <c r="B18" i="27"/>
  <c r="B19" i="27"/>
  <c r="B20" i="27"/>
  <c r="B21" i="27"/>
  <c r="B22" i="27"/>
  <c r="B23" i="27"/>
  <c r="B24" i="27"/>
  <c r="B25" i="27"/>
  <c r="B26" i="27"/>
  <c r="B27" i="27"/>
  <c r="B28" i="27"/>
  <c r="B29" i="27"/>
  <c r="B30" i="27"/>
  <c r="B31" i="27"/>
  <c r="B32" i="27"/>
  <c r="B33" i="27"/>
  <c r="B34" i="27"/>
  <c r="B35" i="27"/>
  <c r="B36" i="27"/>
  <c r="B37" i="27"/>
  <c r="B38" i="27"/>
  <c r="B39" i="27"/>
  <c r="B40" i="27"/>
  <c r="B6" i="27"/>
  <c r="B5" i="32" s="1"/>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4" i="5"/>
  <c r="N1" i="1" l="1"/>
  <c r="L8" i="1" l="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37" i="1"/>
  <c r="N37" i="1" s="1"/>
  <c r="L38" i="1"/>
  <c r="N38" i="1" s="1"/>
  <c r="O28" i="1" l="1"/>
  <c r="Q28" i="51" s="1"/>
  <c r="R28" i="51" s="1"/>
  <c r="O26" i="1"/>
  <c r="Q26" i="51" s="1"/>
  <c r="R26" i="51" s="1"/>
  <c r="O37" i="1"/>
  <c r="Q37" i="51" s="1"/>
  <c r="R37" i="51" s="1"/>
  <c r="O38" i="1"/>
  <c r="Q38" i="51" s="1"/>
  <c r="R38" i="51" s="1"/>
  <c r="O25" i="1"/>
  <c r="Q25" i="51" s="1"/>
  <c r="R25" i="51" s="1"/>
  <c r="O9" i="1"/>
  <c r="Q9" i="51" s="1"/>
  <c r="R9" i="51" s="1"/>
  <c r="O17" i="1"/>
  <c r="Q17" i="51" s="1"/>
  <c r="R17" i="51" s="1"/>
  <c r="O33" i="1"/>
  <c r="Q33" i="51" s="1"/>
  <c r="R33" i="51" s="1"/>
  <c r="AG6" i="32"/>
  <c r="AG7" i="32"/>
  <c r="AG8" i="32"/>
  <c r="AG9" i="32"/>
  <c r="AG10" i="32"/>
  <c r="AG11" i="32"/>
  <c r="AG12" i="32"/>
  <c r="AG13" i="32"/>
  <c r="AG14" i="32"/>
  <c r="AG15" i="32"/>
  <c r="AG16" i="32"/>
  <c r="AG17" i="32"/>
  <c r="AG18" i="32"/>
  <c r="AG19" i="32"/>
  <c r="AG20" i="32"/>
  <c r="AG21" i="32"/>
  <c r="AG22" i="32"/>
  <c r="AG23" i="32"/>
  <c r="AG24" i="32"/>
  <c r="AG25" i="32"/>
  <c r="AG26" i="32"/>
  <c r="AG28" i="32"/>
  <c r="AG29" i="32"/>
  <c r="AG30" i="32"/>
  <c r="AG31" i="32"/>
  <c r="AG32" i="32"/>
  <c r="AG33" i="32"/>
  <c r="AG34" i="32"/>
  <c r="AG35" i="32"/>
  <c r="AG36" i="32"/>
  <c r="AG37" i="32"/>
  <c r="AG38" i="32"/>
  <c r="AG39" i="32"/>
  <c r="F40" i="27" s="1"/>
  <c r="AG5" i="32"/>
  <c r="AG40" i="32" l="1"/>
  <c r="F42" i="36"/>
  <c r="AJ36" i="32" s="1"/>
  <c r="C42" i="36"/>
  <c r="F37" i="27"/>
  <c r="F29" i="36"/>
  <c r="AJ23" i="32" s="1"/>
  <c r="C29" i="36"/>
  <c r="F24" i="27"/>
  <c r="F17" i="36"/>
  <c r="AJ11" i="32" s="1"/>
  <c r="C17" i="36"/>
  <c r="F41" i="36"/>
  <c r="AJ35" i="32" s="1"/>
  <c r="C41" i="36"/>
  <c r="F36" i="27"/>
  <c r="F40" i="36"/>
  <c r="AJ34" i="32" s="1"/>
  <c r="C40" i="36"/>
  <c r="F35" i="27"/>
  <c r="F36" i="36"/>
  <c r="AJ30" i="32" s="1"/>
  <c r="C36" i="36"/>
  <c r="F31" i="27"/>
  <c r="F31" i="36"/>
  <c r="AJ25" i="32" s="1"/>
  <c r="C31" i="36"/>
  <c r="F26" i="27"/>
  <c r="F27" i="36"/>
  <c r="AJ21" i="32" s="1"/>
  <c r="C27" i="36"/>
  <c r="F22" i="27"/>
  <c r="F23" i="36"/>
  <c r="AJ17" i="32" s="1"/>
  <c r="F18" i="27"/>
  <c r="C23" i="36"/>
  <c r="F19" i="36"/>
  <c r="AJ13" i="32" s="1"/>
  <c r="C19" i="36"/>
  <c r="F14" i="27"/>
  <c r="F15" i="36"/>
  <c r="AJ9" i="32" s="1"/>
  <c r="C15" i="36"/>
  <c r="F34" i="36"/>
  <c r="AJ28" i="32" s="1"/>
  <c r="C34" i="36"/>
  <c r="F29" i="27"/>
  <c r="F45" i="36"/>
  <c r="AJ39" i="32" s="1"/>
  <c r="C45" i="36"/>
  <c r="F44" i="36"/>
  <c r="AJ38" i="32" s="1"/>
  <c r="C44" i="36"/>
  <c r="F39" i="27"/>
  <c r="F43" i="36"/>
  <c r="AJ37" i="32" s="1"/>
  <c r="C43" i="36"/>
  <c r="F38" i="27"/>
  <c r="F39" i="36"/>
  <c r="AJ33" i="32" s="1"/>
  <c r="C39" i="36"/>
  <c r="F34" i="27"/>
  <c r="F35" i="36"/>
  <c r="AJ29" i="32" s="1"/>
  <c r="C35" i="36"/>
  <c r="F30" i="27"/>
  <c r="F30" i="36"/>
  <c r="AJ24" i="32" s="1"/>
  <c r="C30" i="36"/>
  <c r="F25" i="27"/>
  <c r="F26" i="36"/>
  <c r="AJ20" i="32" s="1"/>
  <c r="C26" i="36"/>
  <c r="F21" i="27"/>
  <c r="F22" i="36"/>
  <c r="AJ16" i="32" s="1"/>
  <c r="C22" i="36"/>
  <c r="F17" i="27"/>
  <c r="F18" i="36"/>
  <c r="AJ12" i="32" s="1"/>
  <c r="F13" i="27"/>
  <c r="C18" i="36"/>
  <c r="C14" i="36"/>
  <c r="F38" i="36"/>
  <c r="AJ32" i="32" s="1"/>
  <c r="C38" i="36"/>
  <c r="F33" i="27"/>
  <c r="F25" i="36"/>
  <c r="AJ19" i="32" s="1"/>
  <c r="C25" i="36"/>
  <c r="F20" i="27"/>
  <c r="F21" i="36"/>
  <c r="AJ15" i="32" s="1"/>
  <c r="C21" i="36"/>
  <c r="F16" i="27"/>
  <c r="F37" i="36"/>
  <c r="AJ31" i="32" s="1"/>
  <c r="C37" i="36"/>
  <c r="F32" i="27"/>
  <c r="F32" i="36"/>
  <c r="AJ26" i="32" s="1"/>
  <c r="C32" i="36"/>
  <c r="F27" i="27"/>
  <c r="F28" i="36"/>
  <c r="AJ22" i="32" s="1"/>
  <c r="C28" i="36"/>
  <c r="F23" i="27"/>
  <c r="F24" i="36"/>
  <c r="AJ18" i="32" s="1"/>
  <c r="F19" i="27"/>
  <c r="C24" i="36"/>
  <c r="F20" i="36"/>
  <c r="AJ14" i="32" s="1"/>
  <c r="C20" i="36"/>
  <c r="F15" i="27"/>
  <c r="F16" i="36"/>
  <c r="AJ10" i="32" s="1"/>
  <c r="C16" i="36"/>
  <c r="C13" i="36"/>
  <c r="C12" i="36"/>
  <c r="C11" i="36"/>
  <c r="F12" i="27"/>
  <c r="M12" i="27" s="1"/>
  <c r="F11" i="27"/>
  <c r="M11" i="27" s="1"/>
  <c r="F10" i="27"/>
  <c r="M10" i="27" s="1"/>
  <c r="F9" i="27"/>
  <c r="M9" i="27" s="1"/>
  <c r="F8" i="27"/>
  <c r="M8" i="27" s="1"/>
  <c r="F7" i="27"/>
  <c r="M7" i="27" s="1"/>
  <c r="F6" i="27"/>
  <c r="M6" i="27" s="1"/>
  <c r="O15" i="1"/>
  <c r="Q15" i="51" s="1"/>
  <c r="R15" i="51" s="1"/>
  <c r="O29" i="1"/>
  <c r="Q29" i="51" s="1"/>
  <c r="R29" i="51" s="1"/>
  <c r="O10" i="1"/>
  <c r="Q10" i="51" s="1"/>
  <c r="R10" i="51" s="1"/>
  <c r="O34" i="1"/>
  <c r="Q34" i="51" s="1"/>
  <c r="R34" i="51" s="1"/>
  <c r="O35" i="1"/>
  <c r="Q35" i="51" s="1"/>
  <c r="R35" i="51" s="1"/>
  <c r="O22" i="1"/>
  <c r="Q22" i="51" s="1"/>
  <c r="R22" i="51" s="1"/>
  <c r="O11" i="1"/>
  <c r="Q11" i="51" s="1"/>
  <c r="R11" i="51" s="1"/>
  <c r="O13" i="1"/>
  <c r="Q13" i="51" s="1"/>
  <c r="R13" i="51" s="1"/>
  <c r="O19" i="1"/>
  <c r="Q19" i="51" s="1"/>
  <c r="R19" i="51" s="1"/>
  <c r="O30" i="1"/>
  <c r="Q30" i="51" s="1"/>
  <c r="R30" i="51" s="1"/>
  <c r="O20" i="1"/>
  <c r="Q20" i="51" s="1"/>
  <c r="R20" i="51" s="1"/>
  <c r="O18" i="1"/>
  <c r="Q18" i="51" s="1"/>
  <c r="R18" i="51" s="1"/>
  <c r="O12" i="1"/>
  <c r="Q12" i="51" s="1"/>
  <c r="R12" i="51" s="1"/>
  <c r="O32" i="1"/>
  <c r="Q32" i="51" s="1"/>
  <c r="R32" i="51" s="1"/>
  <c r="O16" i="1"/>
  <c r="Q16" i="51" s="1"/>
  <c r="R16" i="51" s="1"/>
  <c r="O21" i="1"/>
  <c r="Q21" i="51" s="1"/>
  <c r="R21" i="51" s="1"/>
  <c r="O14" i="1"/>
  <c r="Q14" i="51" s="1"/>
  <c r="R14" i="51" s="1"/>
  <c r="O23" i="1"/>
  <c r="Q23" i="51" s="1"/>
  <c r="R23" i="51" s="1"/>
  <c r="O31" i="1"/>
  <c r="Q31" i="51" s="1"/>
  <c r="R31" i="51" s="1"/>
  <c r="O36" i="1"/>
  <c r="Q36" i="51" s="1"/>
  <c r="R36" i="51" s="1"/>
  <c r="O27" i="1"/>
  <c r="Q27" i="51" s="1"/>
  <c r="R27" i="51" s="1"/>
  <c r="O24" i="1"/>
  <c r="Q24" i="51" s="1"/>
  <c r="R24" i="51" s="1"/>
  <c r="O8" i="1"/>
  <c r="Q8" i="51" s="1"/>
  <c r="R8" i="51" s="1"/>
  <c r="F13" i="36"/>
  <c r="F14" i="36"/>
  <c r="F12" i="36"/>
  <c r="AJ8" i="32" l="1"/>
  <c r="AJ6" i="32"/>
  <c r="AJ7" i="32"/>
  <c r="M30" i="27"/>
  <c r="G30" i="27"/>
  <c r="I30" i="27" s="1"/>
  <c r="M39" i="27"/>
  <c r="G39" i="27"/>
  <c r="I39" i="27" s="1"/>
  <c r="M15" i="27"/>
  <c r="G15" i="27"/>
  <c r="I15" i="27" s="1"/>
  <c r="M23" i="27"/>
  <c r="G23" i="27"/>
  <c r="I23" i="27" s="1"/>
  <c r="M27" i="27"/>
  <c r="G27" i="27"/>
  <c r="I27" i="27" s="1"/>
  <c r="M32" i="27"/>
  <c r="G32" i="27"/>
  <c r="I32" i="27" s="1"/>
  <c r="M16" i="27"/>
  <c r="G16" i="27"/>
  <c r="I16" i="27" s="1"/>
  <c r="M20" i="27"/>
  <c r="G20" i="27"/>
  <c r="I20" i="27" s="1"/>
  <c r="M33" i="27"/>
  <c r="M18" i="27"/>
  <c r="G18" i="27"/>
  <c r="I18" i="27" s="1"/>
  <c r="M17" i="27"/>
  <c r="G17" i="27"/>
  <c r="I17" i="27" s="1"/>
  <c r="M25" i="27"/>
  <c r="G25" i="27"/>
  <c r="I25" i="27" s="1"/>
  <c r="M38" i="27"/>
  <c r="G38" i="27"/>
  <c r="I38" i="27" s="1"/>
  <c r="M19" i="27"/>
  <c r="G19" i="27"/>
  <c r="I19" i="27" s="1"/>
  <c r="M40" i="27"/>
  <c r="G40" i="27"/>
  <c r="I40" i="27" s="1"/>
  <c r="M29" i="27"/>
  <c r="G29" i="27"/>
  <c r="I29" i="27" s="1"/>
  <c r="M24" i="27"/>
  <c r="G24" i="27"/>
  <c r="I24" i="27" s="1"/>
  <c r="M37" i="27"/>
  <c r="G37" i="27"/>
  <c r="I37" i="27" s="1"/>
  <c r="M21" i="27"/>
  <c r="G21" i="27"/>
  <c r="I21" i="27" s="1"/>
  <c r="M34" i="27"/>
  <c r="M13" i="27"/>
  <c r="G13" i="27"/>
  <c r="I13" i="27" s="1"/>
  <c r="M14" i="27"/>
  <c r="G14" i="27"/>
  <c r="I14" i="27" s="1"/>
  <c r="M22" i="27"/>
  <c r="G22" i="27"/>
  <c r="I22" i="27" s="1"/>
  <c r="M26" i="27"/>
  <c r="G26" i="27"/>
  <c r="I26" i="27" s="1"/>
  <c r="M31" i="27"/>
  <c r="G31" i="27"/>
  <c r="I31" i="27" s="1"/>
  <c r="M35" i="27"/>
  <c r="M36" i="27"/>
  <c r="G36" i="27"/>
  <c r="I36" i="27" s="1"/>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H41" i="27"/>
  <c r="AD40" i="32"/>
  <c r="AD41" i="32" s="1"/>
  <c r="AE40" i="32"/>
  <c r="AE41" i="32" s="1"/>
  <c r="A6" i="32"/>
  <c r="A7" i="32" s="1"/>
  <c r="A8" i="32" s="1"/>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C40" i="32"/>
  <c r="C41" i="32" s="1"/>
  <c r="D40" i="32"/>
  <c r="D41" i="32" s="1"/>
  <c r="E40" i="32"/>
  <c r="E41" i="32" s="1"/>
  <c r="F40" i="32"/>
  <c r="F41" i="32" s="1"/>
  <c r="G40" i="32"/>
  <c r="G41" i="32" s="1"/>
  <c r="H40" i="32"/>
  <c r="H41" i="32" s="1"/>
  <c r="I40" i="32"/>
  <c r="I41" i="32" s="1"/>
  <c r="J40" i="32"/>
  <c r="J41" i="32" s="1"/>
  <c r="K40" i="32"/>
  <c r="K41" i="32" s="1"/>
  <c r="L40" i="32"/>
  <c r="L41" i="32" s="1"/>
  <c r="M40" i="32"/>
  <c r="M41" i="32" s="1"/>
  <c r="N40" i="32"/>
  <c r="N41" i="32" s="1"/>
  <c r="O40" i="32"/>
  <c r="O41" i="32" s="1"/>
  <c r="P40" i="32"/>
  <c r="P41" i="32" s="1"/>
  <c r="Q40" i="32"/>
  <c r="Q41" i="32" s="1"/>
  <c r="R40" i="32"/>
  <c r="R41" i="32" s="1"/>
  <c r="S40" i="32"/>
  <c r="S41" i="32" s="1"/>
  <c r="T40" i="32"/>
  <c r="T41" i="32" s="1"/>
  <c r="U40" i="32"/>
  <c r="U41" i="32" s="1"/>
  <c r="V40" i="32"/>
  <c r="V41" i="32" s="1"/>
  <c r="W40" i="32"/>
  <c r="W41" i="32" s="1"/>
  <c r="X40" i="32"/>
  <c r="X41" i="32" s="1"/>
  <c r="Y40" i="32"/>
  <c r="Y41" i="32" s="1"/>
  <c r="Z40" i="32"/>
  <c r="Z41" i="32" s="1"/>
  <c r="AF40" i="32"/>
  <c r="AF41" i="32" s="1"/>
  <c r="G25" i="5"/>
  <c r="G10" i="27"/>
  <c r="I10" i="27" s="1"/>
  <c r="G11" i="27"/>
  <c r="I11" i="27" s="1"/>
  <c r="G12" i="27"/>
  <c r="I12" i="27" s="1"/>
  <c r="G6" i="27"/>
  <c r="G8" i="27"/>
  <c r="I8" i="27" s="1"/>
  <c r="G35" i="27"/>
  <c r="G34" i="27"/>
  <c r="G33" i="27"/>
  <c r="G9" i="27"/>
  <c r="G7" i="27"/>
  <c r="I7" i="27" l="1"/>
  <c r="J7" i="27" s="1"/>
  <c r="K7" i="27" s="1"/>
  <c r="I9" i="27"/>
  <c r="J9" i="27" s="1"/>
  <c r="K9" i="27" s="1"/>
  <c r="I35" i="27"/>
  <c r="J35" i="27" s="1"/>
  <c r="K35" i="27" s="1"/>
  <c r="I34" i="27"/>
  <c r="J34" i="27" s="1"/>
  <c r="K34" i="27" s="1"/>
  <c r="I33" i="27"/>
  <c r="J33" i="27" s="1"/>
  <c r="K33" i="27" s="1"/>
  <c r="AH9" i="32"/>
  <c r="AH10" i="32"/>
  <c r="J11" i="27"/>
  <c r="K11" i="27" s="1"/>
  <c r="AH11" i="32"/>
  <c r="AH8" i="32"/>
  <c r="AH5" i="32"/>
  <c r="I6" i="27"/>
  <c r="J6" i="27" s="1"/>
  <c r="K6" i="27" s="1"/>
  <c r="AH7" i="32"/>
  <c r="AH34" i="32"/>
  <c r="J26" i="27"/>
  <c r="K26" i="27" s="1"/>
  <c r="AH25" i="32"/>
  <c r="J14" i="27"/>
  <c r="K14" i="27" s="1"/>
  <c r="AH13" i="32"/>
  <c r="AH33" i="32"/>
  <c r="J37" i="27"/>
  <c r="K37" i="27" s="1"/>
  <c r="AH36" i="32"/>
  <c r="J29" i="27"/>
  <c r="K29" i="27" s="1"/>
  <c r="AH28" i="32"/>
  <c r="J19" i="27"/>
  <c r="K19" i="27" s="1"/>
  <c r="AH18" i="32"/>
  <c r="J25" i="27"/>
  <c r="K25" i="27" s="1"/>
  <c r="AH24" i="32"/>
  <c r="J18" i="27"/>
  <c r="K18" i="27" s="1"/>
  <c r="AH17" i="32"/>
  <c r="J20" i="27"/>
  <c r="K20" i="27" s="1"/>
  <c r="AH19" i="32"/>
  <c r="J32" i="27"/>
  <c r="K32" i="27" s="1"/>
  <c r="AH31" i="32"/>
  <c r="J23" i="27"/>
  <c r="K23" i="27" s="1"/>
  <c r="AH22" i="32"/>
  <c r="J39" i="27"/>
  <c r="K39" i="27" s="1"/>
  <c r="AH38" i="32"/>
  <c r="J36" i="27"/>
  <c r="K36" i="27" s="1"/>
  <c r="AH35" i="32"/>
  <c r="J31" i="27"/>
  <c r="K31" i="27" s="1"/>
  <c r="AH30" i="32"/>
  <c r="J22" i="27"/>
  <c r="K22" i="27" s="1"/>
  <c r="AH21" i="32"/>
  <c r="J13" i="27"/>
  <c r="K13" i="27" s="1"/>
  <c r="AH12" i="32"/>
  <c r="J21" i="27"/>
  <c r="K21" i="27" s="1"/>
  <c r="AH20" i="32"/>
  <c r="J24" i="27"/>
  <c r="K24" i="27" s="1"/>
  <c r="AH23" i="32"/>
  <c r="J40" i="27"/>
  <c r="K40" i="27" s="1"/>
  <c r="AH39" i="32"/>
  <c r="J38" i="27"/>
  <c r="K38" i="27" s="1"/>
  <c r="AH37" i="32"/>
  <c r="J17" i="27"/>
  <c r="K17" i="27" s="1"/>
  <c r="AH16" i="32"/>
  <c r="AH32" i="32"/>
  <c r="J16" i="27"/>
  <c r="K16" i="27" s="1"/>
  <c r="AH15" i="32"/>
  <c r="J27" i="27"/>
  <c r="K27" i="27" s="1"/>
  <c r="AH26" i="32"/>
  <c r="J15" i="27"/>
  <c r="K15" i="27" s="1"/>
  <c r="AH14" i="32"/>
  <c r="J30" i="27"/>
  <c r="K30" i="27" s="1"/>
  <c r="AH29" i="32"/>
  <c r="AH6" i="32"/>
  <c r="J8" i="27"/>
  <c r="K8" i="27" s="1"/>
  <c r="J12" i="27"/>
  <c r="K12" i="27" s="1"/>
  <c r="J10" i="27"/>
  <c r="K10" i="27" s="1"/>
  <c r="F51" i="27"/>
  <c r="F55" i="27"/>
  <c r="F52" i="27"/>
  <c r="F56" i="27"/>
  <c r="F60" i="27"/>
  <c r="F54" i="27"/>
  <c r="F53" i="27"/>
  <c r="F58" i="27"/>
  <c r="F62" i="27"/>
  <c r="F57" i="27"/>
  <c r="F59" i="27"/>
  <c r="F63" i="27"/>
  <c r="F61" i="27"/>
  <c r="E23" i="36"/>
  <c r="G23" i="36" s="1"/>
  <c r="E31" i="36"/>
  <c r="G31" i="36" s="1"/>
  <c r="E39" i="36"/>
  <c r="G39" i="36" s="1"/>
  <c r="E13" i="36"/>
  <c r="G13" i="36" s="1"/>
  <c r="E20" i="36"/>
  <c r="G20" i="36" s="1"/>
  <c r="E36" i="36"/>
  <c r="G36" i="36" s="1"/>
  <c r="E44" i="36"/>
  <c r="G44" i="36" s="1"/>
  <c r="E34" i="36"/>
  <c r="G34" i="36" s="1"/>
  <c r="E42" i="36"/>
  <c r="G42" i="36" s="1"/>
  <c r="E19" i="36"/>
  <c r="G19" i="36" s="1"/>
  <c r="E18" i="36"/>
  <c r="G18" i="36" s="1"/>
  <c r="E26" i="36"/>
  <c r="G26" i="36" s="1"/>
  <c r="E38" i="36"/>
  <c r="G38" i="36" s="1"/>
  <c r="E14" i="36"/>
  <c r="G14" i="36" s="1"/>
  <c r="E27" i="36"/>
  <c r="G27" i="36" s="1"/>
  <c r="E35" i="36"/>
  <c r="G35" i="36" s="1"/>
  <c r="E43" i="36"/>
  <c r="G43" i="36" s="1"/>
  <c r="E11" i="36"/>
  <c r="E30" i="36"/>
  <c r="G30" i="36" s="1"/>
  <c r="E12" i="36"/>
  <c r="G12" i="36" s="1"/>
  <c r="E15" i="36"/>
  <c r="G15" i="36" s="1"/>
  <c r="E24" i="36"/>
  <c r="G24" i="36" s="1"/>
  <c r="E28" i="36"/>
  <c r="G28" i="36" s="1"/>
  <c r="E32" i="36"/>
  <c r="G32" i="36" s="1"/>
  <c r="E40" i="36"/>
  <c r="G40" i="36" s="1"/>
  <c r="E22" i="36"/>
  <c r="G22" i="36" s="1"/>
  <c r="E41" i="36"/>
  <c r="G41" i="36" s="1"/>
  <c r="E17" i="36"/>
  <c r="G17" i="36" s="1"/>
  <c r="E21" i="36"/>
  <c r="G21" i="36" s="1"/>
  <c r="E25" i="36"/>
  <c r="G25" i="36" s="1"/>
  <c r="E29" i="36"/>
  <c r="G29" i="36" s="1"/>
  <c r="E33" i="36"/>
  <c r="G33" i="36" s="1"/>
  <c r="E37" i="36"/>
  <c r="G37" i="36" s="1"/>
  <c r="E45" i="36"/>
  <c r="G45" i="36" s="1"/>
  <c r="AH40" i="32" l="1"/>
  <c r="H60" i="27"/>
  <c r="E16" i="36"/>
  <c r="G16" i="36" s="1"/>
  <c r="H63" i="27"/>
  <c r="G41" i="27"/>
  <c r="H56" i="27"/>
  <c r="H61" i="27"/>
  <c r="H53" i="27"/>
  <c r="H62" i="27"/>
  <c r="H55" i="27"/>
  <c r="H52" i="27"/>
  <c r="H65" i="27"/>
  <c r="H54" i="27"/>
  <c r="H59" i="27"/>
  <c r="H51" i="27"/>
  <c r="H64" i="27"/>
  <c r="H57" i="27"/>
  <c r="H50" i="27"/>
  <c r="H58" i="27"/>
  <c r="D50" i="36" l="1"/>
  <c r="G53" i="36"/>
  <c r="G52" i="36"/>
  <c r="D54" i="36"/>
  <c r="D49" i="36"/>
  <c r="D51" i="36"/>
  <c r="G49" i="36"/>
  <c r="A58" i="36"/>
  <c r="G50" i="36"/>
  <c r="D53" i="36"/>
  <c r="D55" i="36"/>
  <c r="D52" i="36"/>
  <c r="D48" i="36"/>
  <c r="G55" i="36"/>
  <c r="G48" i="36"/>
  <c r="G54" i="36"/>
  <c r="G51" i="36"/>
  <c r="I60" i="27"/>
  <c r="I58" i="27"/>
  <c r="I51" i="27"/>
  <c r="I55" i="27"/>
  <c r="I56" i="27"/>
  <c r="J57" i="27"/>
  <c r="I57" i="27"/>
  <c r="J60" i="27"/>
  <c r="I59" i="27"/>
  <c r="I62" i="27"/>
  <c r="J63" i="27"/>
  <c r="I52" i="27"/>
  <c r="I61" i="27"/>
  <c r="I50" i="27"/>
  <c r="J51" i="27"/>
  <c r="I64" i="27"/>
  <c r="J41" i="27"/>
  <c r="I54" i="27"/>
  <c r="I65" i="27"/>
  <c r="L65" i="27" s="1"/>
  <c r="J65" i="27"/>
  <c r="I53" i="27"/>
  <c r="J54" i="27"/>
  <c r="I63" i="27"/>
  <c r="L60" i="27" l="1"/>
  <c r="L63" i="27"/>
  <c r="C48" i="36"/>
  <c r="L57" i="27"/>
  <c r="L54" i="27"/>
  <c r="L51" i="27"/>
  <c r="C49" i="36" l="1"/>
  <c r="C50" i="36" l="1"/>
  <c r="C51" i="36" l="1"/>
  <c r="C52" i="36" l="1"/>
  <c r="C53" i="36" l="1"/>
  <c r="C54" i="36" l="1"/>
  <c r="C55" i="36" l="1"/>
  <c r="J16" i="5" l="1"/>
  <c r="B17" i="32"/>
  <c r="J14" i="5"/>
  <c r="J22" i="5"/>
  <c r="J17" i="5"/>
  <c r="B18" i="32"/>
  <c r="J25" i="5"/>
  <c r="B24" i="32"/>
  <c r="J23" i="5"/>
  <c r="J36" i="5"/>
  <c r="J26" i="5"/>
  <c r="B12" i="32"/>
  <c r="J11" i="5"/>
  <c r="J18" i="5"/>
  <c r="B19" i="32"/>
  <c r="B21" i="32"/>
  <c r="J20" i="5"/>
  <c r="B16" i="32"/>
  <c r="J15" i="5"/>
  <c r="J12" i="5"/>
  <c r="B32" i="32"/>
  <c r="J31" i="5"/>
  <c r="J38" i="5"/>
  <c r="J24" i="5"/>
  <c r="J35" i="5"/>
  <c r="J28" i="5"/>
  <c r="B29" i="32"/>
  <c r="J10" i="5"/>
  <c r="J4" i="5"/>
  <c r="B8" i="32"/>
  <c r="J7" i="5"/>
  <c r="B30" i="32"/>
  <c r="J29" i="5"/>
  <c r="J27" i="5"/>
  <c r="B28" i="32"/>
  <c r="J32" i="5"/>
  <c r="B22" i="32"/>
  <c r="J21" i="5"/>
  <c r="J34" i="5"/>
  <c r="J30" i="5"/>
  <c r="B34" i="32"/>
  <c r="J33" i="5"/>
  <c r="J8" i="5"/>
  <c r="B9" i="32"/>
  <c r="J6" i="5"/>
  <c r="B20" i="32"/>
  <c r="J19" i="5"/>
  <c r="J13" i="5"/>
  <c r="J9" i="5"/>
  <c r="J37" i="5"/>
  <c r="J5" i="5"/>
  <c r="F48" i="36"/>
  <c r="G27" i="5" l="1"/>
  <c r="G26" i="5" s="1"/>
  <c r="B26" i="32"/>
  <c r="B33" i="32"/>
  <c r="B15" i="32"/>
  <c r="B13" i="32"/>
  <c r="B36" i="32"/>
  <c r="B10" i="32"/>
  <c r="B14" i="32"/>
  <c r="B31" i="32"/>
  <c r="B7" i="32"/>
  <c r="B38" i="32"/>
  <c r="B6" i="32"/>
  <c r="B23" i="32"/>
  <c r="B35" i="32"/>
  <c r="B37" i="32"/>
  <c r="B25" i="32"/>
  <c r="B11" i="32"/>
  <c r="B39" i="32"/>
  <c r="B27" i="32"/>
  <c r="F49" i="36"/>
  <c r="F50" i="36" l="1"/>
  <c r="F51" i="36" l="1"/>
  <c r="L5" i="1" l="1"/>
  <c r="F52" i="36"/>
  <c r="N5" i="1" l="1"/>
  <c r="O5" i="1" s="1"/>
  <c r="Q5" i="51" s="1"/>
  <c r="R5" i="51" s="1"/>
  <c r="O4" i="1"/>
  <c r="Q4" i="51" s="1"/>
  <c r="F53" i="36"/>
  <c r="F55" i="36"/>
  <c r="R4" i="51" l="1"/>
  <c r="F54" i="36"/>
  <c r="L6" i="1" l="1"/>
  <c r="N6" i="1" s="1"/>
  <c r="L7" i="1"/>
  <c r="N7" i="1" s="1"/>
  <c r="O7" i="1" l="1"/>
  <c r="Q7" i="51" s="1"/>
  <c r="R7" i="51" s="1"/>
  <c r="O6" i="1"/>
  <c r="Q6" i="51" s="1"/>
  <c r="R6" i="51" s="1"/>
  <c r="G9" i="5"/>
  <c r="H9" i="5" s="1"/>
  <c r="G18" i="5"/>
  <c r="H18" i="5" s="1"/>
  <c r="G17" i="5"/>
  <c r="H17" i="5" s="1"/>
  <c r="G21" i="5"/>
  <c r="H21" i="5" s="1"/>
  <c r="G13" i="5"/>
  <c r="H13" i="5" s="1"/>
  <c r="G23" i="5"/>
  <c r="H23" i="5" s="1"/>
  <c r="G7" i="5"/>
  <c r="H7" i="5" s="1"/>
  <c r="G19" i="5"/>
  <c r="G12" i="5"/>
  <c r="H12" i="5" s="1"/>
  <c r="G8" i="5"/>
  <c r="H8" i="5" s="1"/>
  <c r="G10" i="5"/>
  <c r="H10" i="5" s="1"/>
  <c r="G20" i="5"/>
  <c r="H20" i="5" s="1"/>
  <c r="G22" i="5"/>
  <c r="I23" i="5" s="1"/>
  <c r="G16" i="5"/>
  <c r="H16" i="5" s="1"/>
  <c r="G14" i="5"/>
  <c r="H14" i="5" s="1"/>
  <c r="G11" i="5"/>
  <c r="H11" i="5" s="1"/>
  <c r="G15" i="5"/>
  <c r="H15" i="5" s="1"/>
  <c r="H22" i="5" l="1"/>
  <c r="I22" i="5" s="1"/>
  <c r="I8" i="5"/>
  <c r="I9" i="5"/>
  <c r="I21" i="5"/>
  <c r="I15" i="5"/>
  <c r="I18" i="5"/>
  <c r="I17" i="5"/>
  <c r="I11" i="5"/>
  <c r="I12" i="5"/>
  <c r="H19" i="5"/>
  <c r="I20" i="5" s="1"/>
  <c r="I14" i="5"/>
  <c r="C58" i="5" l="1"/>
  <c r="B58" i="5" s="1"/>
  <c r="F11" i="36" l="1"/>
  <c r="G11" i="36" s="1"/>
  <c r="AJ5"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Lehrer</author>
    <author>Ernst Wölker</author>
  </authors>
  <commentList>
    <comment ref="Q9" authorId="0" shapeId="0" xr:uid="{00000000-0006-0000-1400-000001000000}">
      <text>
        <r>
          <rPr>
            <b/>
            <sz val="8"/>
            <color indexed="81"/>
            <rFont val="Tahoma"/>
            <family val="2"/>
          </rPr>
          <t>Lehrer:</t>
        </r>
        <r>
          <rPr>
            <sz val="8"/>
            <color indexed="81"/>
            <rFont val="Tahoma"/>
            <family val="2"/>
          </rPr>
          <t xml:space="preserve">
Auf volle Punktzahl aufgerundet.</t>
        </r>
      </text>
    </comment>
    <comment ref="X9" authorId="1" shapeId="0" xr:uid="{00000000-0006-0000-1400-000002000000}">
      <text>
        <r>
          <rPr>
            <b/>
            <sz val="8"/>
            <color indexed="81"/>
            <rFont val="Tahoma"/>
            <family val="2"/>
          </rPr>
          <t>Ernst Wölker:</t>
        </r>
        <r>
          <rPr>
            <sz val="8"/>
            <color indexed="81"/>
            <rFont val="Tahoma"/>
            <family val="2"/>
          </rPr>
          <t xml:space="preserve">
Nur zur Information!</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<sst xmlns="http://schemas.openxmlformats.org/spreadsheetml/2006/main" count="689" uniqueCount="123">
  <si>
    <t>1. Halbjahr</t>
  </si>
  <si>
    <t>2. Halbjahr</t>
  </si>
  <si>
    <t>Nr</t>
  </si>
  <si>
    <t>Name</t>
  </si>
  <si>
    <t>Anzahl</t>
  </si>
  <si>
    <t>Kl.:</t>
  </si>
  <si>
    <t>Stand:</t>
  </si>
  <si>
    <t>Klasse:</t>
  </si>
  <si>
    <t>Auswertung</t>
  </si>
  <si>
    <t>Datum:</t>
  </si>
  <si>
    <t>Teiln.:</t>
  </si>
  <si>
    <t>Fehlend</t>
  </si>
  <si>
    <t>Gesamt</t>
  </si>
  <si>
    <t>Anteil</t>
  </si>
  <si>
    <t>Punkte</t>
  </si>
  <si>
    <t>BE</t>
  </si>
  <si>
    <t>Bewertungseinheiten gesamt</t>
  </si>
  <si>
    <t>Bereich Note 5</t>
  </si>
  <si>
    <t>von Untergrenze</t>
  </si>
  <si>
    <t>%</t>
  </si>
  <si>
    <t>bis Obergrenze</t>
  </si>
  <si>
    <t>von</t>
  </si>
  <si>
    <t>bis</t>
  </si>
  <si>
    <t>Schnitt</t>
  </si>
  <si>
    <t>Schlüssel</t>
  </si>
  <si>
    <t>M</t>
  </si>
  <si>
    <t>NT</t>
  </si>
  <si>
    <t>I - 1. Schulaufgabe aus</t>
  </si>
  <si>
    <t>I - 2. Schulaufgabe aus</t>
  </si>
  <si>
    <t>II - 1. Schulaufgabe aus</t>
  </si>
  <si>
    <t>II - 2. Schulaufgabe aus</t>
  </si>
  <si>
    <t>Gewichte</t>
  </si>
  <si>
    <t>Eingabe über:</t>
  </si>
  <si>
    <t>Fach:</t>
  </si>
  <si>
    <t>Schlüssel:</t>
  </si>
  <si>
    <t>BE gesamt</t>
  </si>
  <si>
    <t>UG</t>
  </si>
  <si>
    <t>OG</t>
  </si>
  <si>
    <t>Grenzen für Note 5</t>
  </si>
  <si>
    <t>Schnitte:</t>
  </si>
  <si>
    <t>SA</t>
  </si>
  <si>
    <t>1.2</t>
  </si>
  <si>
    <t>Bewertungs-</t>
  </si>
  <si>
    <t xml:space="preserve">          angepasst</t>
  </si>
  <si>
    <t>einheiten</t>
  </si>
  <si>
    <t xml:space="preserve">      Breite             Punkte  </t>
  </si>
  <si>
    <t>SID</t>
  </si>
  <si>
    <t>KursId:</t>
  </si>
  <si>
    <t>Zweitprüfer</t>
  </si>
  <si>
    <t>Erstprüfer</t>
  </si>
  <si>
    <t>Durchschnitt</t>
  </si>
  <si>
    <t>Zahl der Schüler</t>
  </si>
  <si>
    <t>Bewertungs-einheiten</t>
  </si>
  <si>
    <t>Leistungsbewertung in Punkten</t>
  </si>
  <si>
    <t>Name, Vorname</t>
  </si>
  <si>
    <t>Schriftliche Abschlussprüfung</t>
  </si>
  <si>
    <t>Berufliche Oberschule Kempten</t>
  </si>
  <si>
    <t>FOS/BOS Kempten</t>
  </si>
  <si>
    <t>Ø</t>
  </si>
  <si>
    <t>HJ</t>
  </si>
  <si>
    <t>HJZ</t>
  </si>
  <si>
    <t>mü</t>
  </si>
  <si>
    <t>Ex</t>
  </si>
  <si>
    <t>Zweitkorrektor</t>
  </si>
  <si>
    <t>Summe</t>
  </si>
  <si>
    <t>Prozentsatz erreicht</t>
  </si>
  <si>
    <t>Notenschluessel</t>
  </si>
  <si>
    <t>modifiziert</t>
  </si>
  <si>
    <t>I - 1. Kurzarbeit aus</t>
  </si>
  <si>
    <t>I - 2. Kurzarbeit aus</t>
  </si>
  <si>
    <t>I - 1. Stegreifaufgabe aus</t>
  </si>
  <si>
    <t>I - 2. Stegreifaufgabe aus</t>
  </si>
  <si>
    <t>I - 3. Stegreifaufgabe aus</t>
  </si>
  <si>
    <t>II - 1. Kurzarbeit aus</t>
  </si>
  <si>
    <t>II - 2. Kurzarbeit aus</t>
  </si>
  <si>
    <t>II - 1. Stegreifaufgabe aus</t>
  </si>
  <si>
    <t>II - 2. Stegreifaufgabe aus</t>
  </si>
  <si>
    <t>II - 3. Stegreifaufgabe aus</t>
  </si>
  <si>
    <t>KA</t>
  </si>
  <si>
    <t>Lehrer/in:</t>
  </si>
  <si>
    <t>Lehrer/-in:</t>
  </si>
  <si>
    <t>HJ 2</t>
  </si>
  <si>
    <t>HJZ 2</t>
  </si>
  <si>
    <t>HJ1</t>
  </si>
  <si>
    <t>JN</t>
  </si>
  <si>
    <t>Gesamtjahr</t>
  </si>
  <si>
    <t>Englisch</t>
  </si>
  <si>
    <t>schriftliche AP</t>
  </si>
  <si>
    <t>mündliche AP</t>
  </si>
  <si>
    <t>Gesamt AP</t>
  </si>
  <si>
    <t>Reading</t>
  </si>
  <si>
    <t>Writing</t>
  </si>
  <si>
    <t>Speaking</t>
  </si>
  <si>
    <t>??</t>
  </si>
  <si>
    <t>descr.</t>
  </si>
  <si>
    <t>argum.</t>
  </si>
  <si>
    <t xml:space="preserve">cont. </t>
  </si>
  <si>
    <t xml:space="preserve">lng. </t>
  </si>
  <si>
    <t>style</t>
  </si>
  <si>
    <t>gesamt</t>
  </si>
  <si>
    <t>Punkt</t>
  </si>
  <si>
    <t>A/R</t>
  </si>
  <si>
    <t>CTA</t>
  </si>
  <si>
    <t>SC</t>
  </si>
  <si>
    <t>Dezimal</t>
  </si>
  <si>
    <t>Namen</t>
  </si>
  <si>
    <t>SAP</t>
  </si>
  <si>
    <t>MAP</t>
  </si>
  <si>
    <t>AP</t>
  </si>
  <si>
    <t>Englisch-Gruppenprüfung</t>
  </si>
  <si>
    <t>Kontrolle</t>
  </si>
  <si>
    <t>Alarm bei Abweichung</t>
  </si>
  <si>
    <t>um mehr als 1 BE</t>
  </si>
  <si>
    <t>Punkte
1. Prüfer</t>
  </si>
  <si>
    <t>Bewertungseinheiten</t>
  </si>
  <si>
    <t>2. Prüfer</t>
  </si>
  <si>
    <t>1. Prüfer</t>
  </si>
  <si>
    <t>Tipp zum Ausdrucken: Überflüssige Zeilen/Spalten ausblenden und auf eine Seite verkleinern auswählen</t>
  </si>
  <si>
    <t>Erstkorrektor</t>
  </si>
  <si>
    <t>Verbindung zur Notenverwaltung</t>
  </si>
  <si>
    <t>Hiermit bestätigen wir, dass wir die Ergebnisse der schriftlichen Abschlussprüfung auf diesem Blatt gemeinsam eingetragen und überprüft haben.</t>
  </si>
  <si>
    <t>1.1</t>
  </si>
  <si>
    <t>Hiermit bestätigen wir, dass wir die Ergebnisse der Gruppenprüfung auf diesem Blatt gemeinsam eingetragen und überprüft haben.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</si>
</sst>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000"/>
    <numFmt numFmtId="166" formatCode="0.0%"/>
    <numFmt numFmtId="167" formatCode="&quot;(&quot;0.00&quot;)&quot;"/>
    <numFmt numFmtId="168" formatCode="dd/\ mmmm\ yyyy"/>
    <numFmt numFmtId="169" formatCode="0.0000"/>
    <numFmt numFmtId="170" formatCode="0.000"/>
  </numFmts>
  <fonts count="26" x14ac:knownFonts="1">
    <font>
      <sz val="10"/>
      <name val="Arial"/>
    </font>
    <font>
      <sz val="10"/>
      <name val="Arial"/>
      <family val="2"/>
    </font>
    <font>
      <b/>
      <sz val="10"/>
      <color indexed="10"/>
      <name val="Arial"/>
      <family val="2"/>
    </font>
    <font>
      <sz val="10"/>
      <color indexed="8"/>
      <name val="Times New Roman"/>
      <family val="1"/>
    </font>
    <font>
      <b/>
      <sz val="10"/>
      <name val="Arial"/>
      <family val="2"/>
    </font>
    <font>
      <sz val="10"/>
      <name val="Arial"/>
      <family val="2"/>
    </font>
    <font>
      <sz val="10"/>
      <name val="Times New Roman"/>
      <family val="1"/>
    </font>
    <font>
      <sz val="10"/>
      <color indexed="9"/>
      <name val="Arial"/>
      <family val="2"/>
    </font>
    <font>
      <sz val="11"/>
      <name val="Arial"/>
      <family val="2"/>
    </font>
    <font>
      <b/>
      <sz val="11"/>
      <name val="Arial"/>
      <family val="2"/>
    </font>
    <font>
      <sz val="1"/>
      <color indexed="9"/>
      <name val="Arial"/>
      <family val="2"/>
    </font>
    <font>
      <b/>
      <sz val="14"/>
      <name val="Arial"/>
      <family val="2"/>
    </font>
    <font>
      <b/>
      <sz val="12"/>
      <name val="Arial"/>
      <family val="2"/>
    </font>
    <font>
      <sz val="10"/>
      <color rgb="FF00B050"/>
      <name val="Arial"/>
      <family val="2"/>
    </font>
    <font>
      <sz val="10"/>
      <color rgb="FFC00000"/>
      <name val="Arial"/>
      <family val="2"/>
    </font>
    <font>
      <b/>
      <sz val="10"/>
      <color rgb="FF00B050"/>
      <name val="Arial"/>
      <family val="2"/>
    </font>
    <font>
      <b/>
      <sz val="12"/>
      <name val="Times New Roman"/>
      <family val="1"/>
    </font>
    <font>
      <b/>
      <sz val="10"/>
      <name val="Times New Roman"/>
      <family val="1"/>
    </font>
    <font>
      <b/>
      <sz val="10"/>
      <color rgb="FFFF0000"/>
      <name val="Arial"/>
      <family val="2"/>
    </font>
    <font>
      <sz val="12"/>
      <name val="Arial"/>
      <family val="2"/>
    </font>
    <font>
      <sz val="10"/>
      <color indexed="10"/>
      <name val="Arial"/>
      <family val="2"/>
    </font>
    <font>
      <b/>
      <sz val="8"/>
      <color indexed="81"/>
      <name val="Tahoma"/>
      <family val="2"/>
    </font>
    <font>
      <sz val="8"/>
      <color indexed="81"/>
      <name val="Tahoma"/>
      <family val="2"/>
    </font>
    <font>
      <b/>
      <sz val="14"/>
      <color rgb="FFFF0000"/>
      <name val="Arial"/>
      <family val="2"/>
    </font>
    <font>
      <b/>
      <sz val="10"/>
      <color indexed="17"/>
      <name val="Times New Roman"/>
      <family val="1"/>
    </font>
    <font>
      <b/>
      <sz val="9"/>
      <color indexed="17"/>
      <name val="Times New Roman"/>
      <family val="1"/>
    </font>
  </fonts>
  <fills count="10">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43"/>
        <bgColor indexed="64"/>
      </patternFill>
    </fill>
    <fill>
      <patternFill patternType="solid">
        <fgColor rgb="FFCCFFFF"/>
        <bgColor indexed="64"/>
      </patternFill>
    </fill>
    <fill>
      <patternFill patternType="solid">
        <fgColor indexed="22"/>
        <bgColor indexed="64"/>
      </patternFill>
    </fill>
    <fill>
      <patternFill patternType="solid">
        <fgColor theme="0"/>
        <bgColor indexed="64"/>
      </patternFill>
    </fill>
    <fill>
      <patternFill patternType="solid">
        <fgColor rgb="FFFFFF99"/>
        <bgColor indexed="64"/>
      </patternFill>
    </fill>
    <fill>
      <patternFill patternType="solid">
        <fgColor rgb="FFFFFFCC"/>
        <bgColor indexed="64"/>
      </patternFill>
    </fill>
  </fills>
  <borders count="121">
    <border>
      <left/>
      <right/>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hair">
        <color indexed="64"/>
      </top>
      <bottom/>
      <diagonal/>
    </border>
    <border>
      <left/>
      <right/>
      <top/>
      <bottom style="hair">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medium">
        <color indexed="64"/>
      </left>
      <right style="dotted">
        <color indexed="64"/>
      </right>
      <top style="thin">
        <color indexed="64"/>
      </top>
      <bottom style="thin">
        <color indexed="64"/>
      </bottom>
      <diagonal/>
    </border>
    <border>
      <left style="dotted">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medium">
        <color indexed="64"/>
      </left>
      <right style="dotted">
        <color indexed="64"/>
      </right>
      <top style="thin">
        <color indexed="64"/>
      </top>
      <bottom style="medium">
        <color indexed="64"/>
      </bottom>
      <diagonal/>
    </border>
    <border>
      <left/>
      <right style="dotted">
        <color indexed="64"/>
      </right>
      <top style="thin">
        <color indexed="64"/>
      </top>
      <bottom style="thin">
        <color indexed="64"/>
      </bottom>
      <diagonal/>
    </border>
    <border>
      <left/>
      <right style="dotted">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dotted">
        <color indexed="64"/>
      </left>
      <right/>
      <top style="thin">
        <color indexed="64"/>
      </top>
      <bottom style="medium">
        <color indexed="64"/>
      </bottom>
      <diagonal/>
    </border>
    <border>
      <left/>
      <right style="dashed">
        <color indexed="64"/>
      </right>
      <top style="medium">
        <color indexed="64"/>
      </top>
      <bottom style="thin">
        <color indexed="64"/>
      </bottom>
      <diagonal/>
    </border>
    <border>
      <left/>
      <right style="dashed">
        <color indexed="64"/>
      </right>
      <top style="thin">
        <color indexed="64"/>
      </top>
      <bottom style="thin">
        <color indexed="64"/>
      </bottom>
      <diagonal/>
    </border>
    <border>
      <left/>
      <right style="dashed">
        <color indexed="64"/>
      </right>
      <top style="thin">
        <color indexed="64"/>
      </top>
      <bottom style="medium">
        <color indexed="64"/>
      </bottom>
      <diagonal/>
    </border>
    <border>
      <left style="medium">
        <color indexed="64"/>
      </left>
      <right style="dashed">
        <color indexed="64"/>
      </right>
      <top style="medium">
        <color indexed="64"/>
      </top>
      <bottom style="thin">
        <color indexed="64"/>
      </bottom>
      <diagonal/>
    </border>
    <border>
      <left style="medium">
        <color indexed="64"/>
      </left>
      <right style="dashed">
        <color indexed="64"/>
      </right>
      <top style="thin">
        <color indexed="64"/>
      </top>
      <bottom style="thin">
        <color indexed="64"/>
      </bottom>
      <diagonal/>
    </border>
    <border>
      <left style="medium">
        <color indexed="64"/>
      </left>
      <right style="dashed">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dotted">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bottom/>
      <diagonal/>
    </border>
    <border>
      <left/>
      <right/>
      <top/>
      <bottom style="medium">
        <color indexed="64"/>
      </bottom>
      <diagonal/>
    </border>
    <border>
      <left/>
      <right style="thin">
        <color indexed="64"/>
      </right>
      <top/>
      <bottom style="medium">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diagonal/>
    </border>
    <border>
      <left style="medium">
        <color indexed="64"/>
      </left>
      <right/>
      <top style="medium">
        <color indexed="64"/>
      </top>
      <bottom style="hair">
        <color indexed="64"/>
      </bottom>
      <diagonal/>
    </border>
    <border>
      <left style="medium">
        <color indexed="64"/>
      </left>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4">
    <xf numFmtId="0" fontId="0" fillId="0" borderId="0"/>
    <xf numFmtId="9" fontId="1" fillId="0" borderId="0" applyFont="0" applyFill="0" applyBorder="0" applyAlignment="0" applyProtection="0"/>
    <xf numFmtId="0" fontId="5" fillId="0" borderId="0"/>
    <xf numFmtId="0" fontId="1" fillId="0" borderId="0"/>
  </cellStyleXfs>
  <cellXfs count="564">
    <xf numFmtId="0" fontId="0" fillId="0" borderId="0" xfId="0"/>
    <xf numFmtId="0" fontId="0" fillId="0" borderId="0" xfId="0" applyProtection="1">
      <protection hidden="1"/>
    </xf>
    <xf numFmtId="0" fontId="0" fillId="0" borderId="6" xfId="0" applyBorder="1" applyProtection="1">
      <protection hidden="1"/>
    </xf>
    <xf numFmtId="0" fontId="0" fillId="0" borderId="6" xfId="0" applyBorder="1" applyAlignment="1" applyProtection="1">
      <alignment horizontal="center"/>
      <protection hidden="1"/>
    </xf>
    <xf numFmtId="0" fontId="0" fillId="0" borderId="0" xfId="0" applyAlignment="1" applyProtection="1">
      <alignment horizontal="center"/>
      <protection hidden="1"/>
    </xf>
    <xf numFmtId="0" fontId="0" fillId="3" borderId="6" xfId="0" applyFill="1" applyBorder="1" applyAlignment="1" applyProtection="1">
      <alignment horizontal="center"/>
      <protection locked="0"/>
    </xf>
    <xf numFmtId="1" fontId="5" fillId="4" borderId="13" xfId="0" applyNumberFormat="1" applyFont="1" applyFill="1" applyBorder="1" applyAlignment="1" applyProtection="1">
      <alignment horizontal="center"/>
      <protection hidden="1"/>
    </xf>
    <xf numFmtId="1" fontId="5" fillId="4" borderId="12" xfId="0" applyNumberFormat="1" applyFont="1" applyFill="1" applyBorder="1" applyAlignment="1" applyProtection="1">
      <alignment horizontal="center"/>
      <protection hidden="1"/>
    </xf>
    <xf numFmtId="1" fontId="4" fillId="3" borderId="15" xfId="0" applyNumberFormat="1" applyFont="1" applyFill="1" applyBorder="1" applyAlignment="1" applyProtection="1">
      <alignment horizontal="center"/>
      <protection locked="0"/>
    </xf>
    <xf numFmtId="164" fontId="4" fillId="3" borderId="6" xfId="0" applyNumberFormat="1" applyFont="1" applyFill="1" applyBorder="1" applyAlignment="1" applyProtection="1">
      <alignment horizontal="center"/>
      <protection locked="0"/>
    </xf>
    <xf numFmtId="0" fontId="0" fillId="3" borderId="15" xfId="0" applyFill="1" applyBorder="1" applyAlignment="1" applyProtection="1">
      <alignment horizontal="center"/>
      <protection locked="0"/>
    </xf>
    <xf numFmtId="0" fontId="0" fillId="0" borderId="13" xfId="0" applyBorder="1" applyAlignment="1" applyProtection="1">
      <alignment horizontal="center"/>
      <protection hidden="1"/>
    </xf>
    <xf numFmtId="0" fontId="5" fillId="4" borderId="30" xfId="0" applyFont="1" applyFill="1" applyBorder="1" applyAlignment="1" applyProtection="1">
      <alignment horizontal="center"/>
      <protection hidden="1"/>
    </xf>
    <xf numFmtId="0" fontId="5" fillId="4" borderId="32" xfId="0" applyFont="1" applyFill="1" applyBorder="1" applyAlignment="1" applyProtection="1">
      <alignment horizontal="center"/>
      <protection hidden="1"/>
    </xf>
    <xf numFmtId="166" fontId="0" fillId="4" borderId="33" xfId="1" applyNumberFormat="1" applyFont="1" applyFill="1" applyBorder="1" applyAlignment="1" applyProtection="1">
      <alignment horizontal="center"/>
      <protection hidden="1"/>
    </xf>
    <xf numFmtId="166" fontId="0" fillId="4" borderId="35" xfId="1" applyNumberFormat="1" applyFont="1" applyFill="1" applyBorder="1" applyAlignment="1" applyProtection="1">
      <alignment horizontal="center"/>
      <protection hidden="1"/>
    </xf>
    <xf numFmtId="0" fontId="5" fillId="4" borderId="37" xfId="0" applyFont="1" applyFill="1" applyBorder="1" applyAlignment="1" applyProtection="1">
      <alignment horizontal="center"/>
      <protection hidden="1"/>
    </xf>
    <xf numFmtId="166" fontId="0" fillId="4" borderId="38" xfId="1" applyNumberFormat="1" applyFont="1" applyFill="1" applyBorder="1" applyAlignment="1" applyProtection="1">
      <alignment horizontal="center"/>
      <protection hidden="1"/>
    </xf>
    <xf numFmtId="0" fontId="5" fillId="0" borderId="36" xfId="0" applyFont="1" applyBorder="1" applyAlignment="1" applyProtection="1">
      <alignment horizontal="center"/>
      <protection hidden="1"/>
    </xf>
    <xf numFmtId="0" fontId="5" fillId="0" borderId="31" xfId="0" applyFont="1" applyBorder="1" applyAlignment="1" applyProtection="1">
      <alignment horizontal="center"/>
      <protection hidden="1"/>
    </xf>
    <xf numFmtId="0" fontId="5" fillId="0" borderId="34" xfId="0" applyFont="1" applyBorder="1" applyAlignment="1" applyProtection="1">
      <alignment horizontal="center"/>
      <protection hidden="1"/>
    </xf>
    <xf numFmtId="0" fontId="0" fillId="0" borderId="2" xfId="0" applyBorder="1" applyAlignment="1" applyProtection="1">
      <alignment horizontal="center"/>
      <protection hidden="1"/>
    </xf>
    <xf numFmtId="0" fontId="0" fillId="3" borderId="0" xfId="0" applyFill="1" applyAlignment="1" applyProtection="1">
      <alignment horizontal="left"/>
      <protection locked="0"/>
    </xf>
    <xf numFmtId="166" fontId="0" fillId="4" borderId="0" xfId="0" applyNumberFormat="1" applyFill="1" applyProtection="1">
      <protection hidden="1"/>
    </xf>
    <xf numFmtId="0" fontId="0" fillId="3" borderId="0" xfId="0" applyFill="1" applyProtection="1">
      <protection locked="0"/>
    </xf>
    <xf numFmtId="0" fontId="0" fillId="0" borderId="0" xfId="0" applyAlignment="1" applyProtection="1">
      <alignment horizontal="right"/>
      <protection hidden="1"/>
    </xf>
    <xf numFmtId="0" fontId="7" fillId="0" borderId="0" xfId="0" applyFont="1" applyProtection="1">
      <protection hidden="1"/>
    </xf>
    <xf numFmtId="0" fontId="2" fillId="0" borderId="0" xfId="0" applyFont="1" applyProtection="1">
      <protection hidden="1"/>
    </xf>
    <xf numFmtId="2" fontId="0" fillId="0" borderId="0" xfId="0" applyNumberFormat="1" applyProtection="1">
      <protection locked="0"/>
    </xf>
    <xf numFmtId="0" fontId="4" fillId="3" borderId="15" xfId="0" applyFont="1" applyFill="1" applyBorder="1" applyAlignment="1" applyProtection="1">
      <alignment horizontal="center"/>
      <protection locked="0"/>
    </xf>
    <xf numFmtId="0" fontId="4" fillId="3" borderId="6" xfId="0" applyFont="1" applyFill="1" applyBorder="1" applyAlignment="1" applyProtection="1">
      <alignment horizontal="center"/>
      <protection locked="0"/>
    </xf>
    <xf numFmtId="0" fontId="5" fillId="0" borderId="0" xfId="0" applyFont="1" applyAlignment="1" applyProtection="1">
      <alignment horizontal="center"/>
      <protection hidden="1"/>
    </xf>
    <xf numFmtId="10" fontId="0" fillId="0" borderId="6" xfId="0" applyNumberFormat="1" applyBorder="1" applyAlignment="1" applyProtection="1">
      <alignment horizontal="center"/>
      <protection hidden="1"/>
    </xf>
    <xf numFmtId="0" fontId="5" fillId="0" borderId="13" xfId="0" applyFont="1" applyBorder="1" applyAlignment="1" applyProtection="1">
      <alignment horizontal="center"/>
      <protection hidden="1"/>
    </xf>
    <xf numFmtId="0" fontId="0" fillId="0" borderId="22" xfId="0" applyBorder="1" applyAlignment="1" applyProtection="1">
      <alignment horizontal="center"/>
      <protection hidden="1"/>
    </xf>
    <xf numFmtId="0" fontId="0" fillId="0" borderId="12" xfId="0" applyBorder="1" applyAlignment="1" applyProtection="1">
      <alignment horizontal="center"/>
      <protection hidden="1"/>
    </xf>
    <xf numFmtId="10" fontId="0" fillId="0" borderId="22" xfId="0" applyNumberFormat="1" applyBorder="1" applyAlignment="1" applyProtection="1">
      <alignment horizontal="center"/>
      <protection hidden="1"/>
    </xf>
    <xf numFmtId="1" fontId="0" fillId="0" borderId="6" xfId="0" applyNumberFormat="1" applyBorder="1" applyAlignment="1" applyProtection="1">
      <alignment horizontal="center"/>
      <protection hidden="1"/>
    </xf>
    <xf numFmtId="2" fontId="0" fillId="4" borderId="12" xfId="0" applyNumberFormat="1" applyFill="1" applyBorder="1" applyAlignment="1" applyProtection="1">
      <alignment horizontal="center"/>
      <protection hidden="1"/>
    </xf>
    <xf numFmtId="0" fontId="9" fillId="0" borderId="0" xfId="0" applyFont="1" applyAlignment="1" applyProtection="1">
      <alignment horizontal="right"/>
      <protection hidden="1"/>
    </xf>
    <xf numFmtId="0" fontId="8" fillId="0" borderId="0" xfId="0" applyFont="1" applyAlignment="1" applyProtection="1">
      <alignment horizontal="right"/>
      <protection hidden="1"/>
    </xf>
    <xf numFmtId="0" fontId="0" fillId="0" borderId="0" xfId="0" applyAlignment="1">
      <alignment horizontal="right"/>
    </xf>
    <xf numFmtId="0" fontId="7" fillId="0" borderId="0" xfId="0" applyFont="1" applyAlignment="1" applyProtection="1">
      <alignment horizontal="right"/>
      <protection hidden="1"/>
    </xf>
    <xf numFmtId="0" fontId="1" fillId="0" borderId="0" xfId="0" applyFont="1" applyAlignment="1" applyProtection="1">
      <alignment horizontal="right"/>
      <protection hidden="1"/>
    </xf>
    <xf numFmtId="0" fontId="1" fillId="0" borderId="24" xfId="0" applyFont="1" applyBorder="1" applyAlignment="1" applyProtection="1">
      <alignment horizontal="left"/>
      <protection hidden="1"/>
    </xf>
    <xf numFmtId="0" fontId="1" fillId="0" borderId="0" xfId="0" applyFont="1" applyProtection="1">
      <protection hidden="1"/>
    </xf>
    <xf numFmtId="0" fontId="1" fillId="0" borderId="0" xfId="0" applyFont="1" applyAlignment="1" applyProtection="1">
      <alignment horizontal="left"/>
      <protection hidden="1"/>
    </xf>
    <xf numFmtId="0" fontId="10" fillId="0" borderId="0" xfId="0" applyFont="1" applyProtection="1">
      <protection hidden="1"/>
    </xf>
    <xf numFmtId="0" fontId="0" fillId="0" borderId="31" xfId="0" applyBorder="1" applyAlignment="1" applyProtection="1">
      <alignment horizontal="center"/>
      <protection hidden="1"/>
    </xf>
    <xf numFmtId="0" fontId="0" fillId="0" borderId="34" xfId="0" applyBorder="1" applyAlignment="1" applyProtection="1">
      <alignment horizontal="center"/>
      <protection hidden="1"/>
    </xf>
    <xf numFmtId="0" fontId="0" fillId="0" borderId="36" xfId="0" applyBorder="1" applyAlignment="1" applyProtection="1">
      <alignment horizontal="center"/>
      <protection hidden="1"/>
    </xf>
    <xf numFmtId="0" fontId="10" fillId="0" borderId="0" xfId="0" applyFont="1"/>
    <xf numFmtId="0" fontId="0" fillId="0" borderId="12" xfId="0" applyBorder="1" applyProtection="1">
      <protection hidden="1"/>
    </xf>
    <xf numFmtId="0" fontId="5" fillId="0" borderId="9"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4" fillId="0" borderId="0" xfId="0" applyFont="1" applyProtection="1">
      <protection hidden="1"/>
    </xf>
    <xf numFmtId="0" fontId="4" fillId="0" borderId="0" xfId="0" applyFont="1"/>
    <xf numFmtId="164" fontId="2" fillId="0" borderId="0" xfId="0" applyNumberFormat="1" applyFont="1" applyAlignment="1">
      <alignment horizontal="center"/>
    </xf>
    <xf numFmtId="0" fontId="4" fillId="0" borderId="0" xfId="0" applyFont="1" applyAlignment="1">
      <alignment horizontal="center"/>
    </xf>
    <xf numFmtId="164" fontId="4" fillId="3" borderId="0" xfId="0" applyNumberFormat="1" applyFont="1" applyFill="1" applyAlignment="1" applyProtection="1">
      <alignment horizontal="center"/>
      <protection locked="0"/>
    </xf>
    <xf numFmtId="167" fontId="0" fillId="0" borderId="0" xfId="0" applyNumberFormat="1" applyAlignment="1" applyProtection="1">
      <alignment horizontal="center"/>
      <protection locked="0"/>
    </xf>
    <xf numFmtId="0" fontId="0" fillId="0" borderId="43" xfId="0" applyBorder="1" applyAlignment="1" applyProtection="1">
      <alignment horizontal="center"/>
      <protection hidden="1"/>
    </xf>
    <xf numFmtId="0" fontId="5" fillId="4" borderId="44" xfId="0" applyFont="1" applyFill="1" applyBorder="1" applyAlignment="1" applyProtection="1">
      <alignment horizontal="center"/>
      <protection hidden="1"/>
    </xf>
    <xf numFmtId="166" fontId="0" fillId="4" borderId="45" xfId="1" applyNumberFormat="1" applyFont="1" applyFill="1" applyBorder="1" applyAlignment="1" applyProtection="1">
      <alignment horizontal="center"/>
      <protection hidden="1"/>
    </xf>
    <xf numFmtId="0" fontId="0" fillId="0" borderId="0" xfId="0" applyAlignment="1">
      <alignment horizontal="center"/>
    </xf>
    <xf numFmtId="9" fontId="1" fillId="0" borderId="0" xfId="1" applyFill="1" applyAlignment="1">
      <alignment horizontal="center"/>
    </xf>
    <xf numFmtId="0" fontId="0" fillId="0" borderId="0" xfId="0" applyAlignment="1">
      <alignment vertical="center"/>
    </xf>
    <xf numFmtId="0" fontId="0" fillId="0" borderId="2" xfId="0" applyBorder="1" applyAlignment="1">
      <alignment horizontal="center"/>
    </xf>
    <xf numFmtId="0" fontId="0" fillId="0" borderId="3" xfId="0" applyBorder="1" applyAlignment="1">
      <alignment horizontal="center"/>
    </xf>
    <xf numFmtId="0" fontId="0" fillId="0" borderId="18" xfId="0" applyBorder="1" applyAlignment="1">
      <alignment horizontal="right"/>
    </xf>
    <xf numFmtId="1" fontId="0" fillId="0" borderId="5" xfId="0" applyNumberFormat="1" applyBorder="1" applyAlignment="1">
      <alignment horizontal="center"/>
    </xf>
    <xf numFmtId="0" fontId="5" fillId="0" borderId="10" xfId="0" applyFont="1" applyBorder="1" applyAlignment="1" applyProtection="1">
      <alignment horizontal="center"/>
      <protection hidden="1"/>
    </xf>
    <xf numFmtId="0" fontId="5" fillId="0" borderId="24" xfId="0" applyFont="1" applyBorder="1" applyAlignment="1" applyProtection="1">
      <alignment horizontal="center"/>
      <protection hidden="1"/>
    </xf>
    <xf numFmtId="0" fontId="5" fillId="0" borderId="42" xfId="0" applyFont="1" applyBorder="1" applyAlignment="1" applyProtection="1">
      <alignment horizontal="center"/>
      <protection hidden="1"/>
    </xf>
    <xf numFmtId="10" fontId="0" fillId="0" borderId="13" xfId="1" applyNumberFormat="1" applyFont="1" applyBorder="1" applyAlignment="1" applyProtection="1">
      <alignment horizontal="center"/>
      <protection hidden="1"/>
    </xf>
    <xf numFmtId="10" fontId="0" fillId="0" borderId="22" xfId="1" applyNumberFormat="1" applyFont="1" applyBorder="1" applyAlignment="1" applyProtection="1">
      <alignment horizontal="center"/>
      <protection hidden="1"/>
    </xf>
    <xf numFmtId="10" fontId="0" fillId="0" borderId="12" xfId="1" applyNumberFormat="1" applyFont="1" applyBorder="1" applyAlignment="1" applyProtection="1">
      <alignment horizontal="center"/>
      <protection hidden="1"/>
    </xf>
    <xf numFmtId="10" fontId="0" fillId="0" borderId="6" xfId="1" applyNumberFormat="1" applyFont="1" applyBorder="1" applyAlignment="1" applyProtection="1">
      <alignment horizontal="center"/>
      <protection hidden="1"/>
    </xf>
    <xf numFmtId="0" fontId="0" fillId="0" borderId="6" xfId="0" applyBorder="1" applyAlignment="1" applyProtection="1">
      <alignment vertical="center"/>
      <protection hidden="1"/>
    </xf>
    <xf numFmtId="0" fontId="5" fillId="0" borderId="0" xfId="2"/>
    <xf numFmtId="0" fontId="5" fillId="0" borderId="0" xfId="2" applyProtection="1">
      <protection hidden="1"/>
    </xf>
    <xf numFmtId="0" fontId="5" fillId="0" borderId="0" xfId="2" applyAlignment="1" applyProtection="1">
      <alignment horizontal="right"/>
      <protection hidden="1"/>
    </xf>
    <xf numFmtId="0" fontId="5" fillId="0" borderId="24" xfId="2" applyBorder="1" applyAlignment="1" applyProtection="1">
      <alignment horizontal="left"/>
      <protection hidden="1"/>
    </xf>
    <xf numFmtId="0" fontId="5" fillId="0" borderId="0" xfId="2" applyAlignment="1" applyProtection="1">
      <alignment horizontal="left"/>
      <protection hidden="1"/>
    </xf>
    <xf numFmtId="0" fontId="5" fillId="0" borderId="6" xfId="2" applyBorder="1" applyAlignment="1" applyProtection="1">
      <alignment horizontal="center"/>
      <protection hidden="1"/>
    </xf>
    <xf numFmtId="0" fontId="5" fillId="0" borderId="6" xfId="2" applyBorder="1" applyProtection="1">
      <protection hidden="1"/>
    </xf>
    <xf numFmtId="0" fontId="5" fillId="0" borderId="2" xfId="2" applyBorder="1"/>
    <xf numFmtId="0" fontId="5" fillId="0" borderId="0" xfId="2" applyAlignment="1">
      <alignment horizontal="center"/>
    </xf>
    <xf numFmtId="168" fontId="5" fillId="0" borderId="0" xfId="2" applyNumberFormat="1" applyAlignment="1">
      <alignment horizontal="left"/>
    </xf>
    <xf numFmtId="0" fontId="5" fillId="0" borderId="3" xfId="2" applyBorder="1"/>
    <xf numFmtId="2" fontId="4" fillId="0" borderId="24" xfId="2" applyNumberFormat="1" applyFont="1" applyBorder="1"/>
    <xf numFmtId="2" fontId="4" fillId="0" borderId="2" xfId="2" applyNumberFormat="1" applyFont="1" applyBorder="1"/>
    <xf numFmtId="0" fontId="15" fillId="0" borderId="0" xfId="0" applyFont="1" applyAlignment="1">
      <alignment horizontal="center"/>
    </xf>
    <xf numFmtId="9" fontId="15" fillId="0" borderId="0" xfId="1" applyFont="1" applyFill="1" applyAlignment="1">
      <alignment horizontal="center"/>
    </xf>
    <xf numFmtId="0" fontId="5" fillId="0" borderId="30" xfId="2" applyBorder="1" applyProtection="1">
      <protection hidden="1"/>
    </xf>
    <xf numFmtId="0" fontId="5" fillId="0" borderId="0" xfId="2" applyProtection="1">
      <protection locked="0"/>
    </xf>
    <xf numFmtId="0" fontId="9" fillId="0" borderId="0" xfId="2" applyFont="1"/>
    <xf numFmtId="0" fontId="5" fillId="0" borderId="10" xfId="2" applyBorder="1"/>
    <xf numFmtId="0" fontId="5" fillId="0" borderId="11" xfId="2" applyBorder="1"/>
    <xf numFmtId="0" fontId="5" fillId="0" borderId="24" xfId="2" applyBorder="1"/>
    <xf numFmtId="0" fontId="5" fillId="0" borderId="5" xfId="2" applyBorder="1"/>
    <xf numFmtId="0" fontId="5" fillId="0" borderId="9" xfId="2" applyBorder="1"/>
    <xf numFmtId="0" fontId="4" fillId="0" borderId="0" xfId="2" applyFont="1"/>
    <xf numFmtId="0" fontId="4" fillId="0" borderId="0" xfId="2" applyFont="1" applyAlignment="1">
      <alignment horizontal="center" vertical="top" wrapText="1"/>
    </xf>
    <xf numFmtId="0" fontId="14" fillId="0" borderId="30" xfId="2" applyFont="1" applyBorder="1" applyAlignment="1">
      <alignment horizontal="center"/>
    </xf>
    <xf numFmtId="0" fontId="13" fillId="0" borderId="30" xfId="2" applyFont="1" applyBorder="1" applyAlignment="1">
      <alignment horizontal="center"/>
    </xf>
    <xf numFmtId="0" fontId="5" fillId="0" borderId="51" xfId="2" applyBorder="1" applyAlignment="1">
      <alignment horizontal="center"/>
    </xf>
    <xf numFmtId="0" fontId="4" fillId="6" borderId="6" xfId="2" applyFont="1" applyFill="1" applyBorder="1" applyAlignment="1">
      <alignment horizontal="center" wrapText="1"/>
    </xf>
    <xf numFmtId="0" fontId="4" fillId="6" borderId="6" xfId="2" applyFont="1" applyFill="1" applyBorder="1" applyAlignment="1">
      <alignment horizontal="center"/>
    </xf>
    <xf numFmtId="0" fontId="5" fillId="0" borderId="6" xfId="2" applyBorder="1" applyAlignment="1">
      <alignment horizontal="center"/>
    </xf>
    <xf numFmtId="0" fontId="0" fillId="0" borderId="6" xfId="0" applyBorder="1" applyAlignment="1" applyProtection="1">
      <alignment horizontal="center" vertical="top"/>
      <protection locked="0"/>
    </xf>
    <xf numFmtId="0" fontId="3" fillId="3" borderId="24" xfId="0" applyFont="1" applyFill="1" applyBorder="1" applyAlignment="1" applyProtection="1">
      <alignment horizontal="center" vertical="center"/>
      <protection locked="0" hidden="1"/>
    </xf>
    <xf numFmtId="0" fontId="3" fillId="3" borderId="56" xfId="0" applyFont="1" applyFill="1" applyBorder="1" applyAlignment="1" applyProtection="1">
      <alignment horizontal="center" vertical="center"/>
      <protection locked="0" hidden="1"/>
    </xf>
    <xf numFmtId="0" fontId="3" fillId="3" borderId="57" xfId="0" applyFont="1" applyFill="1" applyBorder="1" applyAlignment="1" applyProtection="1">
      <alignment horizontal="center" vertical="center"/>
      <protection locked="0" hidden="1"/>
    </xf>
    <xf numFmtId="0" fontId="6" fillId="2" borderId="6" xfId="0" applyFont="1" applyFill="1" applyBorder="1" applyProtection="1">
      <protection hidden="1"/>
    </xf>
    <xf numFmtId="0" fontId="6" fillId="2" borderId="46" xfId="0" applyFont="1" applyFill="1" applyBorder="1" applyProtection="1">
      <protection hidden="1"/>
    </xf>
    <xf numFmtId="0" fontId="6" fillId="2" borderId="6" xfId="0" applyFont="1" applyFill="1" applyBorder="1" applyAlignment="1" applyProtection="1">
      <alignment vertical="center"/>
      <protection hidden="1"/>
    </xf>
    <xf numFmtId="0" fontId="6" fillId="2" borderId="54" xfId="0" applyFont="1" applyFill="1" applyBorder="1" applyAlignment="1" applyProtection="1">
      <alignment vertical="center"/>
      <protection hidden="1"/>
    </xf>
    <xf numFmtId="1" fontId="6" fillId="2" borderId="58" xfId="0" applyNumberFormat="1" applyFont="1" applyFill="1" applyBorder="1" applyAlignment="1" applyProtection="1">
      <alignment vertical="center"/>
      <protection hidden="1"/>
    </xf>
    <xf numFmtId="0" fontId="6" fillId="2" borderId="55" xfId="0" applyFont="1" applyFill="1" applyBorder="1" applyAlignment="1" applyProtection="1">
      <alignment vertical="center"/>
      <protection hidden="1"/>
    </xf>
    <xf numFmtId="0" fontId="6" fillId="2" borderId="12" xfId="0" applyFont="1" applyFill="1" applyBorder="1" applyProtection="1">
      <protection hidden="1"/>
    </xf>
    <xf numFmtId="1" fontId="6" fillId="2" borderId="59" xfId="0" applyNumberFormat="1" applyFont="1" applyFill="1" applyBorder="1" applyAlignment="1" applyProtection="1">
      <alignment vertical="center"/>
      <protection hidden="1"/>
    </xf>
    <xf numFmtId="2" fontId="6" fillId="2" borderId="23" xfId="0" applyNumberFormat="1" applyFont="1" applyFill="1" applyBorder="1" applyAlignment="1" applyProtection="1">
      <alignment vertical="center"/>
      <protection hidden="1"/>
    </xf>
    <xf numFmtId="0" fontId="6" fillId="2" borderId="49" xfId="0" applyFont="1" applyFill="1" applyBorder="1" applyProtection="1">
      <protection hidden="1"/>
    </xf>
    <xf numFmtId="0" fontId="6" fillId="2" borderId="60" xfId="0" applyFont="1" applyFill="1" applyBorder="1" applyProtection="1">
      <protection hidden="1"/>
    </xf>
    <xf numFmtId="0" fontId="6" fillId="2" borderId="27" xfId="0" applyFont="1" applyFill="1" applyBorder="1" applyProtection="1">
      <protection hidden="1"/>
    </xf>
    <xf numFmtId="0" fontId="6" fillId="2" borderId="29" xfId="0" applyFont="1" applyFill="1" applyBorder="1" applyProtection="1">
      <protection hidden="1"/>
    </xf>
    <xf numFmtId="0" fontId="6" fillId="2" borderId="26" xfId="0" applyFont="1" applyFill="1" applyBorder="1" applyProtection="1">
      <protection hidden="1"/>
    </xf>
    <xf numFmtId="1" fontId="6" fillId="2" borderId="63" xfId="0" applyNumberFormat="1" applyFont="1" applyFill="1" applyBorder="1" applyAlignment="1" applyProtection="1">
      <alignment vertical="center"/>
      <protection hidden="1"/>
    </xf>
    <xf numFmtId="0" fontId="3" fillId="3" borderId="63" xfId="0" applyFont="1" applyFill="1" applyBorder="1" applyAlignment="1" applyProtection="1">
      <alignment horizontal="center" vertical="center"/>
      <protection locked="0" hidden="1"/>
    </xf>
    <xf numFmtId="0" fontId="3" fillId="3" borderId="62" xfId="0" applyFont="1" applyFill="1" applyBorder="1" applyAlignment="1" applyProtection="1">
      <alignment horizontal="center" vertical="center"/>
      <protection locked="0" hidden="1"/>
    </xf>
    <xf numFmtId="1" fontId="6" fillId="2" borderId="64" xfId="0" applyNumberFormat="1" applyFont="1" applyFill="1" applyBorder="1" applyAlignment="1" applyProtection="1">
      <alignment vertical="center"/>
      <protection hidden="1"/>
    </xf>
    <xf numFmtId="1" fontId="6" fillId="2" borderId="24" xfId="0" applyNumberFormat="1" applyFont="1" applyFill="1" applyBorder="1" applyAlignment="1" applyProtection="1">
      <alignment vertical="center"/>
      <protection hidden="1"/>
    </xf>
    <xf numFmtId="1" fontId="6" fillId="2" borderId="65" xfId="0" applyNumberFormat="1" applyFont="1" applyFill="1" applyBorder="1" applyAlignment="1" applyProtection="1">
      <alignment vertical="center"/>
      <protection hidden="1"/>
    </xf>
    <xf numFmtId="1" fontId="6" fillId="2" borderId="66" xfId="0" applyNumberFormat="1" applyFont="1" applyFill="1" applyBorder="1" applyAlignment="1" applyProtection="1">
      <alignment vertical="center"/>
      <protection hidden="1"/>
    </xf>
    <xf numFmtId="0" fontId="6" fillId="2" borderId="52" xfId="0" applyFont="1" applyFill="1" applyBorder="1" applyAlignment="1" applyProtection="1">
      <alignment vertical="center" wrapText="1"/>
      <protection hidden="1"/>
    </xf>
    <xf numFmtId="0" fontId="6" fillId="2" borderId="67" xfId="0" applyFont="1" applyFill="1" applyBorder="1" applyProtection="1">
      <protection hidden="1"/>
    </xf>
    <xf numFmtId="0" fontId="6" fillId="2" borderId="41" xfId="0" applyFont="1" applyFill="1" applyBorder="1" applyProtection="1">
      <protection hidden="1"/>
    </xf>
    <xf numFmtId="0" fontId="6" fillId="2" borderId="27" xfId="0" applyFont="1" applyFill="1" applyBorder="1" applyAlignment="1" applyProtection="1">
      <alignment horizontal="center"/>
      <protection hidden="1"/>
    </xf>
    <xf numFmtId="0" fontId="6" fillId="2" borderId="23" xfId="0" applyFont="1" applyFill="1" applyBorder="1" applyAlignment="1" applyProtection="1">
      <alignment horizontal="center" vertical="center"/>
      <protection hidden="1"/>
    </xf>
    <xf numFmtId="0" fontId="6" fillId="2" borderId="53" xfId="0" applyFont="1" applyFill="1" applyBorder="1" applyAlignment="1" applyProtection="1">
      <alignment horizontal="center" vertical="center"/>
      <protection hidden="1"/>
    </xf>
    <xf numFmtId="0" fontId="6" fillId="2" borderId="41" xfId="0" applyFont="1" applyFill="1" applyBorder="1" applyAlignment="1" applyProtection="1">
      <alignment horizontal="center" vertical="center"/>
      <protection hidden="1"/>
    </xf>
    <xf numFmtId="0" fontId="4" fillId="0" borderId="0" xfId="2" applyFont="1" applyProtection="1">
      <protection locked="0"/>
    </xf>
    <xf numFmtId="0" fontId="5" fillId="7" borderId="1" xfId="2" applyFill="1" applyBorder="1" applyAlignment="1" applyProtection="1">
      <alignment horizontal="center"/>
      <protection hidden="1"/>
    </xf>
    <xf numFmtId="1" fontId="5" fillId="7" borderId="1" xfId="2" applyNumberFormat="1" applyFill="1" applyBorder="1" applyAlignment="1" applyProtection="1">
      <alignment horizontal="center"/>
      <protection hidden="1"/>
    </xf>
    <xf numFmtId="0" fontId="6" fillId="2" borderId="68" xfId="0" applyFont="1" applyFill="1" applyBorder="1" applyProtection="1">
      <protection hidden="1"/>
    </xf>
    <xf numFmtId="0" fontId="6" fillId="2" borderId="68" xfId="0" applyFont="1" applyFill="1" applyBorder="1" applyAlignment="1" applyProtection="1">
      <alignment vertical="center"/>
      <protection hidden="1"/>
    </xf>
    <xf numFmtId="0" fontId="6" fillId="2" borderId="69" xfId="0" applyFont="1" applyFill="1" applyBorder="1" applyProtection="1">
      <protection hidden="1"/>
    </xf>
    <xf numFmtId="0" fontId="16" fillId="2" borderId="69" xfId="0" applyFont="1" applyFill="1" applyBorder="1" applyAlignment="1" applyProtection="1">
      <alignment horizontal="center" vertical="center"/>
      <protection hidden="1"/>
    </xf>
    <xf numFmtId="0" fontId="6" fillId="2" borderId="70" xfId="0" applyFont="1" applyFill="1" applyBorder="1" applyProtection="1">
      <protection hidden="1"/>
    </xf>
    <xf numFmtId="1" fontId="17" fillId="8" borderId="39" xfId="0" applyNumberFormat="1" applyFont="1" applyFill="1" applyBorder="1" applyAlignment="1" applyProtection="1">
      <alignment horizontal="center" vertical="center"/>
      <protection hidden="1"/>
    </xf>
    <xf numFmtId="1" fontId="17" fillId="8" borderId="54" xfId="0" applyNumberFormat="1" applyFont="1" applyFill="1" applyBorder="1" applyAlignment="1" applyProtection="1">
      <alignment horizontal="center" vertical="center"/>
      <protection hidden="1"/>
    </xf>
    <xf numFmtId="1" fontId="17" fillId="8" borderId="55" xfId="0" applyNumberFormat="1" applyFont="1" applyFill="1" applyBorder="1" applyAlignment="1" applyProtection="1">
      <alignment horizontal="center" vertical="center"/>
      <protection hidden="1"/>
    </xf>
    <xf numFmtId="0" fontId="1" fillId="0" borderId="0" xfId="0" applyFont="1"/>
    <xf numFmtId="0" fontId="18" fillId="0" borderId="0" xfId="0" applyFont="1"/>
    <xf numFmtId="164" fontId="1" fillId="0" borderId="0" xfId="0" applyNumberFormat="1" applyFont="1"/>
    <xf numFmtId="164" fontId="0" fillId="0" borderId="0" xfId="0" applyNumberFormat="1"/>
    <xf numFmtId="2" fontId="0" fillId="0" borderId="0" xfId="0" applyNumberFormat="1" applyProtection="1">
      <protection hidden="1"/>
    </xf>
    <xf numFmtId="164" fontId="0" fillId="0" borderId="0" xfId="0" applyNumberFormat="1" applyAlignment="1">
      <alignment horizontal="center"/>
    </xf>
    <xf numFmtId="164" fontId="0" fillId="0" borderId="62" xfId="0" applyNumberFormat="1" applyBorder="1" applyAlignment="1">
      <alignment horizontal="center"/>
    </xf>
    <xf numFmtId="164" fontId="0" fillId="0" borderId="10" xfId="0" applyNumberFormat="1" applyBorder="1" applyAlignment="1">
      <alignment horizontal="center"/>
    </xf>
    <xf numFmtId="164" fontId="0" fillId="0" borderId="24" xfId="0" applyNumberFormat="1" applyBorder="1" applyAlignment="1">
      <alignment horizontal="center"/>
    </xf>
    <xf numFmtId="164" fontId="0" fillId="0" borderId="61" xfId="0" applyNumberFormat="1" applyBorder="1" applyAlignment="1">
      <alignment horizontal="center"/>
    </xf>
    <xf numFmtId="0" fontId="0" fillId="0" borderId="13" xfId="0" applyBorder="1" applyAlignment="1">
      <alignment horizontal="right"/>
    </xf>
    <xf numFmtId="0" fontId="0" fillId="0" borderId="22" xfId="0" applyBorder="1" applyAlignment="1">
      <alignment horizontal="right"/>
    </xf>
    <xf numFmtId="0" fontId="0" fillId="0" borderId="12" xfId="0" applyBorder="1" applyAlignment="1">
      <alignment horizontal="right"/>
    </xf>
    <xf numFmtId="0" fontId="0" fillId="0" borderId="18" xfId="0" applyBorder="1"/>
    <xf numFmtId="0" fontId="1" fillId="0" borderId="9" xfId="0" applyFont="1" applyBorder="1"/>
    <xf numFmtId="0" fontId="1" fillId="0" borderId="10" xfId="0" applyFont="1" applyBorder="1"/>
    <xf numFmtId="0" fontId="1" fillId="0" borderId="1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2" xfId="0" applyFont="1" applyBorder="1"/>
    <xf numFmtId="0" fontId="1" fillId="0" borderId="28" xfId="0" applyFont="1" applyBorder="1"/>
    <xf numFmtId="1" fontId="6" fillId="2" borderId="62" xfId="0" applyNumberFormat="1" applyFont="1" applyFill="1" applyBorder="1" applyAlignment="1" applyProtection="1">
      <alignment vertical="center"/>
      <protection hidden="1"/>
    </xf>
    <xf numFmtId="1" fontId="6" fillId="2" borderId="71" xfId="0" applyNumberFormat="1" applyFont="1" applyFill="1" applyBorder="1" applyAlignment="1" applyProtection="1">
      <alignment vertical="center"/>
      <protection hidden="1"/>
    </xf>
    <xf numFmtId="1" fontId="6" fillId="2" borderId="72" xfId="0" applyNumberFormat="1" applyFont="1" applyFill="1" applyBorder="1" applyAlignment="1" applyProtection="1">
      <alignment vertical="center"/>
      <protection hidden="1"/>
    </xf>
    <xf numFmtId="1" fontId="6" fillId="2" borderId="73" xfId="0" applyNumberFormat="1" applyFont="1" applyFill="1" applyBorder="1" applyAlignment="1" applyProtection="1">
      <alignment vertical="center"/>
      <protection hidden="1"/>
    </xf>
    <xf numFmtId="1" fontId="6" fillId="2" borderId="74" xfId="0" applyNumberFormat="1" applyFont="1" applyFill="1" applyBorder="1" applyAlignment="1" applyProtection="1">
      <alignment vertical="center"/>
      <protection hidden="1"/>
    </xf>
    <xf numFmtId="1" fontId="6" fillId="2" borderId="75" xfId="0" applyNumberFormat="1" applyFont="1" applyFill="1" applyBorder="1" applyAlignment="1" applyProtection="1">
      <alignment vertical="center"/>
      <protection hidden="1"/>
    </xf>
    <xf numFmtId="1" fontId="6" fillId="2" borderId="76" xfId="0" applyNumberFormat="1" applyFont="1" applyFill="1" applyBorder="1" applyAlignment="1" applyProtection="1">
      <alignment vertical="center"/>
      <protection hidden="1"/>
    </xf>
    <xf numFmtId="1" fontId="6" fillId="2" borderId="77" xfId="0" applyNumberFormat="1" applyFont="1" applyFill="1" applyBorder="1" applyAlignment="1" applyProtection="1">
      <alignment vertical="center"/>
      <protection hidden="1"/>
    </xf>
    <xf numFmtId="1" fontId="3" fillId="3" borderId="56" xfId="0" applyNumberFormat="1" applyFont="1" applyFill="1" applyBorder="1" applyAlignment="1" applyProtection="1">
      <alignment horizontal="center" vertical="center"/>
      <protection locked="0" hidden="1"/>
    </xf>
    <xf numFmtId="1" fontId="3" fillId="3" borderId="57" xfId="0" applyNumberFormat="1" applyFont="1" applyFill="1" applyBorder="1" applyAlignment="1" applyProtection="1">
      <alignment horizontal="center" vertical="center"/>
      <protection locked="0" hidden="1"/>
    </xf>
    <xf numFmtId="1" fontId="3" fillId="3" borderId="24" xfId="0" applyNumberFormat="1" applyFont="1" applyFill="1" applyBorder="1" applyAlignment="1" applyProtection="1">
      <alignment horizontal="center" vertical="center"/>
      <protection locked="0" hidden="1"/>
    </xf>
    <xf numFmtId="1" fontId="3" fillId="3" borderId="63" xfId="0" applyNumberFormat="1" applyFont="1" applyFill="1" applyBorder="1" applyAlignment="1" applyProtection="1">
      <alignment horizontal="center" vertical="center"/>
      <protection locked="0" hidden="1"/>
    </xf>
    <xf numFmtId="1" fontId="3" fillId="3" borderId="62" xfId="0" applyNumberFormat="1" applyFont="1" applyFill="1" applyBorder="1" applyAlignment="1" applyProtection="1">
      <alignment horizontal="center" vertical="center"/>
      <protection locked="0" hidden="1"/>
    </xf>
    <xf numFmtId="0" fontId="18" fillId="0" borderId="0" xfId="0" applyFont="1" applyProtection="1">
      <protection hidden="1"/>
    </xf>
    <xf numFmtId="0" fontId="6" fillId="2" borderId="42" xfId="0" applyFont="1" applyFill="1" applyBorder="1" applyProtection="1">
      <protection hidden="1"/>
    </xf>
    <xf numFmtId="0" fontId="6" fillId="2" borderId="46" xfId="0" applyFont="1" applyFill="1" applyBorder="1" applyAlignment="1" applyProtection="1">
      <alignment vertical="center"/>
      <protection hidden="1"/>
    </xf>
    <xf numFmtId="1" fontId="6" fillId="2" borderId="79" xfId="0" applyNumberFormat="1" applyFont="1" applyFill="1" applyBorder="1" applyAlignment="1" applyProtection="1">
      <alignment vertical="center"/>
      <protection hidden="1"/>
    </xf>
    <xf numFmtId="1" fontId="6" fillId="2" borderId="80" xfId="0" applyNumberFormat="1" applyFont="1" applyFill="1" applyBorder="1" applyAlignment="1" applyProtection="1">
      <alignment vertical="center"/>
      <protection hidden="1"/>
    </xf>
    <xf numFmtId="0" fontId="6" fillId="2" borderId="81" xfId="0" applyFont="1" applyFill="1" applyBorder="1" applyProtection="1">
      <protection hidden="1"/>
    </xf>
    <xf numFmtId="2" fontId="6" fillId="9" borderId="12" xfId="0" applyNumberFormat="1" applyFont="1" applyFill="1" applyBorder="1" applyAlignment="1" applyProtection="1">
      <alignment vertical="center"/>
      <protection hidden="1"/>
    </xf>
    <xf numFmtId="1" fontId="6" fillId="9" borderId="12" xfId="0" applyNumberFormat="1" applyFont="1" applyFill="1" applyBorder="1" applyAlignment="1" applyProtection="1">
      <alignment vertical="center"/>
      <protection hidden="1"/>
    </xf>
    <xf numFmtId="1" fontId="6" fillId="9" borderId="4" xfId="0" applyNumberFormat="1" applyFont="1" applyFill="1" applyBorder="1" applyAlignment="1" applyProtection="1">
      <alignment vertical="center"/>
      <protection hidden="1"/>
    </xf>
    <xf numFmtId="1" fontId="6" fillId="9" borderId="6" xfId="0" applyNumberFormat="1" applyFont="1" applyFill="1" applyBorder="1" applyAlignment="1" applyProtection="1">
      <alignment vertical="center"/>
      <protection hidden="1"/>
    </xf>
    <xf numFmtId="2" fontId="6" fillId="9" borderId="22" xfId="0" applyNumberFormat="1" applyFont="1" applyFill="1" applyBorder="1" applyAlignment="1" applyProtection="1">
      <alignment vertical="center"/>
      <protection hidden="1"/>
    </xf>
    <xf numFmtId="1" fontId="6" fillId="9" borderId="49" xfId="0" applyNumberFormat="1" applyFont="1" applyFill="1" applyBorder="1" applyAlignment="1" applyProtection="1">
      <alignment vertical="center"/>
      <protection hidden="1"/>
    </xf>
    <xf numFmtId="2" fontId="6" fillId="9" borderId="49" xfId="0" applyNumberFormat="1" applyFont="1" applyFill="1" applyBorder="1" applyAlignment="1" applyProtection="1">
      <alignment vertical="center"/>
      <protection hidden="1"/>
    </xf>
    <xf numFmtId="1" fontId="6" fillId="8" borderId="23" xfId="0" applyNumberFormat="1" applyFont="1" applyFill="1" applyBorder="1" applyAlignment="1" applyProtection="1">
      <alignment vertical="center"/>
      <protection hidden="1"/>
    </xf>
    <xf numFmtId="1" fontId="6" fillId="8" borderId="53" xfId="0" applyNumberFormat="1" applyFont="1" applyFill="1" applyBorder="1" applyAlignment="1" applyProtection="1">
      <alignment vertical="center"/>
      <protection hidden="1"/>
    </xf>
    <xf numFmtId="1" fontId="6" fillId="8" borderId="26" xfId="0" applyNumberFormat="1" applyFont="1" applyFill="1" applyBorder="1" applyAlignment="1" applyProtection="1">
      <alignment vertical="center"/>
      <protection hidden="1"/>
    </xf>
    <xf numFmtId="164" fontId="0" fillId="0" borderId="46" xfId="0" applyNumberFormat="1" applyBorder="1" applyAlignment="1">
      <alignment horizontal="center"/>
    </xf>
    <xf numFmtId="1" fontId="0" fillId="0" borderId="13" xfId="0" applyNumberFormat="1" applyBorder="1" applyAlignment="1">
      <alignment horizontal="center"/>
    </xf>
    <xf numFmtId="1" fontId="0" fillId="0" borderId="22" xfId="0" applyNumberFormat="1" applyBorder="1" applyAlignment="1">
      <alignment horizontal="center"/>
    </xf>
    <xf numFmtId="1" fontId="0" fillId="0" borderId="12" xfId="0" applyNumberFormat="1" applyBorder="1" applyAlignment="1">
      <alignment horizontal="center"/>
    </xf>
    <xf numFmtId="0" fontId="1" fillId="0" borderId="0" xfId="0" quotePrefix="1" applyFont="1" applyProtection="1">
      <protection hidden="1"/>
    </xf>
    <xf numFmtId="2" fontId="11" fillId="0" borderId="9" xfId="2" applyNumberFormat="1" applyFont="1" applyBorder="1"/>
    <xf numFmtId="0" fontId="11" fillId="0" borderId="10" xfId="2" applyFont="1" applyBorder="1"/>
    <xf numFmtId="0" fontId="11" fillId="0" borderId="11" xfId="2" applyFont="1" applyBorder="1"/>
    <xf numFmtId="2" fontId="4" fillId="0" borderId="4" xfId="2" applyNumberFormat="1" applyFont="1" applyBorder="1"/>
    <xf numFmtId="0" fontId="1" fillId="0" borderId="0" xfId="3"/>
    <xf numFmtId="0" fontId="4" fillId="0" borderId="0" xfId="3" applyFont="1"/>
    <xf numFmtId="0" fontId="12" fillId="0" borderId="0" xfId="3" applyFont="1" applyAlignment="1">
      <alignment horizontal="center"/>
    </xf>
    <xf numFmtId="0" fontId="1" fillId="0" borderId="0" xfId="3" applyAlignment="1">
      <alignment horizontal="center"/>
    </xf>
    <xf numFmtId="2" fontId="4" fillId="0" borderId="0" xfId="3" applyNumberFormat="1" applyFont="1" applyAlignment="1">
      <alignment horizontal="center"/>
    </xf>
    <xf numFmtId="0" fontId="4" fillId="0" borderId="0" xfId="3" applyFont="1" applyAlignment="1">
      <alignment horizontal="center"/>
    </xf>
    <xf numFmtId="0" fontId="2" fillId="0" borderId="0" xfId="3" applyFont="1" applyAlignment="1">
      <alignment horizontal="center"/>
    </xf>
    <xf numFmtId="0" fontId="20" fillId="0" borderId="0" xfId="3" applyFont="1" applyAlignment="1">
      <alignment horizontal="center"/>
    </xf>
    <xf numFmtId="0" fontId="1" fillId="4" borderId="13" xfId="3" applyFill="1" applyBorder="1" applyAlignment="1">
      <alignment horizontal="center"/>
    </xf>
    <xf numFmtId="0" fontId="1" fillId="4" borderId="8" xfId="3" applyFill="1" applyBorder="1" applyAlignment="1">
      <alignment horizontal="center"/>
    </xf>
    <xf numFmtId="0" fontId="1" fillId="4" borderId="0" xfId="3" applyFill="1" applyAlignment="1">
      <alignment horizontal="center"/>
    </xf>
    <xf numFmtId="2" fontId="4" fillId="6" borderId="20" xfId="3" applyNumberFormat="1" applyFont="1" applyFill="1" applyBorder="1" applyAlignment="1">
      <alignment horizontal="center"/>
    </xf>
    <xf numFmtId="0" fontId="4" fillId="6" borderId="8" xfId="3" applyFont="1" applyFill="1" applyBorder="1" applyAlignment="1">
      <alignment horizontal="center"/>
    </xf>
    <xf numFmtId="0" fontId="1" fillId="4" borderId="7" xfId="3" applyFill="1" applyBorder="1" applyAlignment="1" applyProtection="1">
      <alignment horizontal="center"/>
      <protection locked="0"/>
    </xf>
    <xf numFmtId="0" fontId="1" fillId="6" borderId="10" xfId="3" applyFill="1" applyBorder="1" applyAlignment="1" applyProtection="1">
      <alignment horizontal="center"/>
      <protection locked="0"/>
    </xf>
    <xf numFmtId="0" fontId="1" fillId="4" borderId="10" xfId="3" applyFill="1" applyBorder="1" applyAlignment="1" applyProtection="1">
      <alignment horizontal="center"/>
      <protection locked="0"/>
    </xf>
    <xf numFmtId="0" fontId="1" fillId="4" borderId="11" xfId="3" applyFill="1" applyBorder="1" applyAlignment="1" applyProtection="1">
      <alignment horizontal="center"/>
      <protection locked="0"/>
    </xf>
    <xf numFmtId="0" fontId="1" fillId="6" borderId="3" xfId="3" applyFill="1" applyBorder="1" applyAlignment="1">
      <alignment horizontal="center"/>
    </xf>
    <xf numFmtId="0" fontId="1" fillId="4" borderId="22" xfId="3" applyFill="1" applyBorder="1" applyAlignment="1">
      <alignment horizontal="center"/>
    </xf>
    <xf numFmtId="0" fontId="1" fillId="0" borderId="7" xfId="3" applyBorder="1" applyAlignment="1">
      <alignment horizontal="center"/>
    </xf>
    <xf numFmtId="0" fontId="1" fillId="0" borderId="10" xfId="3" applyBorder="1" applyAlignment="1">
      <alignment horizontal="center"/>
    </xf>
    <xf numFmtId="0" fontId="1" fillId="0" borderId="13" xfId="3" applyBorder="1" applyAlignment="1">
      <alignment horizontal="center"/>
    </xf>
    <xf numFmtId="0" fontId="1" fillId="0" borderId="20" xfId="3" applyBorder="1" applyAlignment="1" applyProtection="1">
      <alignment horizontal="center"/>
      <protection locked="0"/>
    </xf>
    <xf numFmtId="0" fontId="1" fillId="0" borderId="0" xfId="3" applyAlignment="1" applyProtection="1">
      <alignment horizontal="center"/>
      <protection locked="0"/>
    </xf>
    <xf numFmtId="0" fontId="1" fillId="0" borderId="3" xfId="3" applyBorder="1" applyAlignment="1" applyProtection="1">
      <alignment horizontal="center"/>
      <protection locked="0"/>
    </xf>
    <xf numFmtId="0" fontId="1" fillId="0" borderId="2" xfId="3" applyBorder="1" applyAlignment="1">
      <alignment horizontal="center"/>
    </xf>
    <xf numFmtId="0" fontId="1" fillId="0" borderId="3" xfId="3" applyBorder="1" applyAlignment="1">
      <alignment horizontal="center"/>
    </xf>
    <xf numFmtId="0" fontId="4" fillId="4" borderId="8" xfId="3" applyFont="1" applyFill="1" applyBorder="1" applyAlignment="1">
      <alignment horizontal="center"/>
    </xf>
    <xf numFmtId="0" fontId="1" fillId="0" borderId="20" xfId="3" applyBorder="1" applyAlignment="1">
      <alignment horizontal="center"/>
    </xf>
    <xf numFmtId="0" fontId="1" fillId="0" borderId="22" xfId="3" applyBorder="1" applyAlignment="1">
      <alignment horizontal="center"/>
    </xf>
    <xf numFmtId="0" fontId="4" fillId="4" borderId="0" xfId="3" applyFont="1" applyFill="1" applyAlignment="1">
      <alignment horizontal="center"/>
    </xf>
    <xf numFmtId="0" fontId="4" fillId="4" borderId="83" xfId="3" applyFont="1" applyFill="1" applyBorder="1" applyAlignment="1">
      <alignment horizontal="center"/>
    </xf>
    <xf numFmtId="0" fontId="4" fillId="6" borderId="83" xfId="3" applyFont="1" applyFill="1" applyBorder="1" applyAlignment="1">
      <alignment horizontal="center"/>
    </xf>
    <xf numFmtId="0" fontId="1" fillId="0" borderId="84" xfId="3" applyBorder="1" applyAlignment="1">
      <alignment horizontal="center"/>
    </xf>
    <xf numFmtId="0" fontId="4" fillId="0" borderId="28" xfId="3" applyFont="1" applyBorder="1"/>
    <xf numFmtId="0" fontId="2" fillId="0" borderId="14" xfId="3" applyFont="1" applyBorder="1" applyAlignment="1" applyProtection="1">
      <alignment horizontal="center"/>
      <protection locked="0"/>
    </xf>
    <xf numFmtId="0" fontId="2" fillId="0" borderId="84" xfId="3" applyFont="1" applyBorder="1" applyAlignment="1" applyProtection="1">
      <alignment horizontal="center"/>
      <protection locked="0"/>
    </xf>
    <xf numFmtId="0" fontId="2" fillId="0" borderId="85" xfId="3" applyFont="1" applyBorder="1" applyAlignment="1" applyProtection="1">
      <alignment horizontal="center"/>
      <protection locked="0"/>
    </xf>
    <xf numFmtId="0" fontId="1" fillId="6" borderId="85" xfId="3" applyFill="1" applyBorder="1" applyAlignment="1">
      <alignment horizontal="center"/>
    </xf>
    <xf numFmtId="0" fontId="2" fillId="0" borderId="29" xfId="3" applyFont="1" applyBorder="1" applyAlignment="1" applyProtection="1">
      <alignment horizontal="center"/>
      <protection locked="0"/>
    </xf>
    <xf numFmtId="0" fontId="1" fillId="4" borderId="27" xfId="3" applyFill="1" applyBorder="1" applyAlignment="1">
      <alignment horizontal="center"/>
    </xf>
    <xf numFmtId="0" fontId="4" fillId="4" borderId="28" xfId="3" applyFont="1" applyFill="1" applyBorder="1" applyAlignment="1">
      <alignment horizontal="center"/>
    </xf>
    <xf numFmtId="0" fontId="2" fillId="0" borderId="20" xfId="3" applyFont="1" applyBorder="1" applyAlignment="1">
      <alignment horizontal="center"/>
    </xf>
    <xf numFmtId="0" fontId="1" fillId="4" borderId="86" xfId="3" applyFill="1" applyBorder="1" applyAlignment="1" applyProtection="1">
      <alignment horizontal="center"/>
      <protection locked="0"/>
    </xf>
    <xf numFmtId="0" fontId="1" fillId="4" borderId="51" xfId="3" applyFill="1" applyBorder="1" applyAlignment="1" applyProtection="1">
      <alignment horizontal="center"/>
      <protection locked="0"/>
    </xf>
    <xf numFmtId="0" fontId="1" fillId="6" borderId="87" xfId="3" applyFill="1" applyBorder="1" applyAlignment="1">
      <alignment horizontal="center"/>
    </xf>
    <xf numFmtId="0" fontId="1" fillId="4" borderId="88" xfId="3" applyFill="1" applyBorder="1" applyAlignment="1" applyProtection="1">
      <alignment horizontal="center"/>
      <protection locked="0"/>
    </xf>
    <xf numFmtId="0" fontId="1" fillId="4" borderId="89" xfId="3" applyFill="1" applyBorder="1" applyAlignment="1" applyProtection="1">
      <alignment horizontal="center"/>
      <protection locked="0"/>
    </xf>
    <xf numFmtId="0" fontId="1" fillId="6" borderId="90" xfId="3" applyFill="1" applyBorder="1" applyAlignment="1">
      <alignment horizontal="center"/>
    </xf>
    <xf numFmtId="0" fontId="1" fillId="4" borderId="91" xfId="3" applyFill="1" applyBorder="1" applyAlignment="1">
      <alignment horizontal="center"/>
    </xf>
    <xf numFmtId="0" fontId="1" fillId="6" borderId="92" xfId="3" applyFill="1" applyBorder="1" applyAlignment="1">
      <alignment horizontal="center"/>
    </xf>
    <xf numFmtId="2" fontId="1" fillId="6" borderId="95" xfId="3" applyNumberFormat="1" applyFill="1" applyBorder="1" applyAlignment="1">
      <alignment horizontal="center"/>
    </xf>
    <xf numFmtId="0" fontId="1" fillId="6" borderId="96" xfId="3" applyFill="1" applyBorder="1" applyAlignment="1">
      <alignment horizontal="center"/>
    </xf>
    <xf numFmtId="169" fontId="1" fillId="0" borderId="0" xfId="3" applyNumberFormat="1"/>
    <xf numFmtId="0" fontId="1" fillId="0" borderId="50" xfId="3" applyBorder="1" applyAlignment="1" applyProtection="1">
      <alignment horizontal="center"/>
      <protection locked="0"/>
    </xf>
    <xf numFmtId="0" fontId="1" fillId="6" borderId="27" xfId="3" applyFill="1" applyBorder="1" applyAlignment="1">
      <alignment horizontal="center"/>
    </xf>
    <xf numFmtId="0" fontId="1" fillId="0" borderId="97" xfId="3" applyBorder="1" applyAlignment="1" applyProtection="1">
      <alignment horizontal="center"/>
      <protection locked="0"/>
    </xf>
    <xf numFmtId="0" fontId="1" fillId="0" borderId="98" xfId="3" applyBorder="1" applyAlignment="1" applyProtection="1">
      <alignment horizontal="center"/>
      <protection locked="0"/>
    </xf>
    <xf numFmtId="0" fontId="1" fillId="6" borderId="98" xfId="3" applyFill="1" applyBorder="1" applyAlignment="1">
      <alignment horizontal="center"/>
    </xf>
    <xf numFmtId="0" fontId="1" fillId="4" borderId="99" xfId="3" applyFill="1" applyBorder="1" applyAlignment="1">
      <alignment horizontal="center"/>
    </xf>
    <xf numFmtId="2" fontId="1" fillId="6" borderId="100" xfId="3" applyNumberFormat="1" applyFill="1" applyBorder="1" applyAlignment="1">
      <alignment horizontal="center"/>
    </xf>
    <xf numFmtId="0" fontId="1" fillId="6" borderId="101" xfId="3" applyFill="1" applyBorder="1" applyAlignment="1">
      <alignment horizontal="center"/>
    </xf>
    <xf numFmtId="0" fontId="1" fillId="4" borderId="102" xfId="3" applyFill="1" applyBorder="1" applyAlignment="1" applyProtection="1">
      <alignment horizontal="center"/>
      <protection locked="0"/>
    </xf>
    <xf numFmtId="0" fontId="1" fillId="6" borderId="93" xfId="3" applyFill="1" applyBorder="1" applyAlignment="1">
      <alignment horizontal="center"/>
    </xf>
    <xf numFmtId="169" fontId="1" fillId="0" borderId="0" xfId="3" applyNumberFormat="1" applyAlignment="1">
      <alignment horizontal="center"/>
    </xf>
    <xf numFmtId="0" fontId="1" fillId="0" borderId="103" xfId="3" applyBorder="1" applyAlignment="1" applyProtection="1">
      <alignment horizontal="center"/>
      <protection locked="0"/>
    </xf>
    <xf numFmtId="0" fontId="1" fillId="6" borderId="99" xfId="3" applyFill="1" applyBorder="1" applyAlignment="1">
      <alignment horizontal="center"/>
    </xf>
    <xf numFmtId="0" fontId="1" fillId="0" borderId="104" xfId="3" applyBorder="1" applyAlignment="1" applyProtection="1">
      <alignment horizontal="center"/>
      <protection locked="0"/>
    </xf>
    <xf numFmtId="0" fontId="1" fillId="0" borderId="105" xfId="3" applyBorder="1" applyAlignment="1" applyProtection="1">
      <alignment horizontal="center"/>
      <protection locked="0"/>
    </xf>
    <xf numFmtId="0" fontId="1" fillId="6" borderId="91" xfId="3" applyFill="1" applyBorder="1" applyAlignment="1">
      <alignment horizontal="center"/>
    </xf>
    <xf numFmtId="0" fontId="1" fillId="0" borderId="106" xfId="3" applyBorder="1" applyAlignment="1" applyProtection="1">
      <alignment horizontal="center"/>
      <protection locked="0"/>
    </xf>
    <xf numFmtId="0" fontId="1" fillId="0" borderId="107" xfId="3" applyBorder="1" applyAlignment="1" applyProtection="1">
      <alignment horizontal="center"/>
      <protection locked="0"/>
    </xf>
    <xf numFmtId="0" fontId="1" fillId="6" borderId="108" xfId="3" applyFill="1" applyBorder="1" applyAlignment="1">
      <alignment horizontal="center"/>
    </xf>
    <xf numFmtId="2" fontId="1" fillId="6" borderId="109" xfId="3" applyNumberFormat="1" applyFill="1" applyBorder="1" applyAlignment="1">
      <alignment horizontal="center"/>
    </xf>
    <xf numFmtId="0" fontId="1" fillId="6" borderId="110" xfId="3" applyFill="1" applyBorder="1" applyAlignment="1">
      <alignment horizontal="center"/>
    </xf>
    <xf numFmtId="0" fontId="1" fillId="0" borderId="18" xfId="3" applyBorder="1" applyAlignment="1">
      <alignment horizontal="center"/>
    </xf>
    <xf numFmtId="1" fontId="1" fillId="0" borderId="0" xfId="3" applyNumberFormat="1" applyAlignment="1">
      <alignment horizontal="center"/>
    </xf>
    <xf numFmtId="2" fontId="1" fillId="0" borderId="0" xfId="3" applyNumberFormat="1" applyAlignment="1">
      <alignment horizontal="center"/>
    </xf>
    <xf numFmtId="2" fontId="4" fillId="0" borderId="28" xfId="3" applyNumberFormat="1" applyFont="1" applyBorder="1" applyAlignment="1">
      <alignment horizontal="left"/>
    </xf>
    <xf numFmtId="0" fontId="12" fillId="0" borderId="0" xfId="3" applyFont="1"/>
    <xf numFmtId="0" fontId="1" fillId="0" borderId="10" xfId="3" applyBorder="1"/>
    <xf numFmtId="0" fontId="1" fillId="0" borderId="3" xfId="3" applyBorder="1"/>
    <xf numFmtId="0" fontId="1" fillId="0" borderId="24" xfId="3" applyBorder="1"/>
    <xf numFmtId="0" fontId="1" fillId="0" borderId="5" xfId="3" applyBorder="1"/>
    <xf numFmtId="0" fontId="1" fillId="0" borderId="2" xfId="3" applyBorder="1"/>
    <xf numFmtId="0" fontId="1" fillId="0" borderId="6" xfId="3" applyBorder="1" applyProtection="1">
      <protection hidden="1"/>
    </xf>
    <xf numFmtId="0" fontId="1" fillId="0" borderId="9" xfId="3" applyBorder="1"/>
    <xf numFmtId="0" fontId="4" fillId="6" borderId="1" xfId="3" applyFont="1" applyFill="1" applyBorder="1" applyAlignment="1">
      <alignment horizontal="center"/>
    </xf>
    <xf numFmtId="0" fontId="4" fillId="6" borderId="42" xfId="3" applyFont="1" applyFill="1" applyBorder="1" applyAlignment="1">
      <alignment horizontal="center" wrapText="1"/>
    </xf>
    <xf numFmtId="0" fontId="4" fillId="6" borderId="42" xfId="3" applyFont="1" applyFill="1" applyBorder="1" applyAlignment="1">
      <alignment horizontal="center"/>
    </xf>
    <xf numFmtId="0" fontId="4" fillId="6" borderId="46" xfId="3" applyFont="1" applyFill="1" applyBorder="1" applyAlignment="1">
      <alignment horizontal="center" wrapText="1"/>
    </xf>
    <xf numFmtId="0" fontId="1" fillId="0" borderId="6" xfId="3" applyBorder="1" applyAlignment="1">
      <alignment horizontal="center"/>
    </xf>
    <xf numFmtId="0" fontId="1" fillId="0" borderId="4" xfId="3" applyBorder="1"/>
    <xf numFmtId="168" fontId="1" fillId="0" borderId="0" xfId="3" applyNumberFormat="1" applyAlignment="1">
      <alignment horizontal="left"/>
    </xf>
    <xf numFmtId="1" fontId="6" fillId="9" borderId="22" xfId="0" applyNumberFormat="1" applyFont="1" applyFill="1" applyBorder="1" applyAlignment="1" applyProtection="1">
      <alignment vertical="center"/>
      <protection hidden="1"/>
    </xf>
    <xf numFmtId="1" fontId="17" fillId="8" borderId="83" xfId="0" applyNumberFormat="1" applyFont="1" applyFill="1" applyBorder="1" applyAlignment="1" applyProtection="1">
      <alignment horizontal="center" vertical="center"/>
      <protection hidden="1"/>
    </xf>
    <xf numFmtId="0" fontId="6" fillId="2" borderId="94" xfId="0" applyFont="1" applyFill="1" applyBorder="1" applyAlignment="1" applyProtection="1">
      <alignment vertical="center" wrapText="1"/>
      <protection hidden="1"/>
    </xf>
    <xf numFmtId="0" fontId="6" fillId="2" borderId="55" xfId="0" applyFont="1" applyFill="1" applyBorder="1" applyAlignment="1" applyProtection="1">
      <alignment vertical="center" wrapText="1"/>
      <protection hidden="1"/>
    </xf>
    <xf numFmtId="0" fontId="6" fillId="2" borderId="83" xfId="0" applyFont="1" applyFill="1" applyBorder="1" applyAlignment="1" applyProtection="1">
      <alignment vertical="center" wrapText="1"/>
      <protection hidden="1"/>
    </xf>
    <xf numFmtId="0" fontId="6" fillId="2" borderId="39" xfId="0" applyFont="1" applyFill="1" applyBorder="1" applyAlignment="1" applyProtection="1">
      <alignment vertical="center" wrapText="1"/>
      <protection hidden="1"/>
    </xf>
    <xf numFmtId="0" fontId="6" fillId="2" borderId="54" xfId="0" applyFont="1" applyFill="1" applyBorder="1" applyAlignment="1" applyProtection="1">
      <alignment vertical="center" wrapText="1"/>
      <protection hidden="1"/>
    </xf>
    <xf numFmtId="0" fontId="6" fillId="2" borderId="29" xfId="0" applyFont="1" applyFill="1" applyBorder="1" applyAlignment="1" applyProtection="1">
      <alignment horizontal="center"/>
      <protection hidden="1"/>
    </xf>
    <xf numFmtId="0" fontId="6" fillId="2" borderId="26" xfId="0" applyFont="1" applyFill="1" applyBorder="1" applyAlignment="1" applyProtection="1">
      <alignment horizontal="center"/>
      <protection hidden="1"/>
    </xf>
    <xf numFmtId="0" fontId="6" fillId="2" borderId="40" xfId="0" applyFont="1" applyFill="1" applyBorder="1" applyAlignment="1" applyProtection="1">
      <alignment horizontal="center"/>
      <protection hidden="1"/>
    </xf>
    <xf numFmtId="0" fontId="6" fillId="2" borderId="68" xfId="0" applyFont="1" applyFill="1" applyBorder="1" applyAlignment="1" applyProtection="1">
      <alignment horizontal="center"/>
      <protection hidden="1"/>
    </xf>
    <xf numFmtId="0" fontId="6" fillId="2" borderId="60" xfId="0" applyFont="1" applyFill="1" applyBorder="1" applyAlignment="1" applyProtection="1">
      <alignment horizontal="center"/>
      <protection hidden="1"/>
    </xf>
    <xf numFmtId="0" fontId="0" fillId="0" borderId="84" xfId="0" applyBorder="1" applyProtection="1">
      <protection hidden="1"/>
    </xf>
    <xf numFmtId="0" fontId="0" fillId="0" borderId="26" xfId="0" applyBorder="1" applyProtection="1">
      <protection hidden="1"/>
    </xf>
    <xf numFmtId="4" fontId="0" fillId="0" borderId="12" xfId="0" applyNumberFormat="1" applyBorder="1" applyAlignment="1" applyProtection="1">
      <alignment horizontal="center"/>
      <protection hidden="1"/>
    </xf>
    <xf numFmtId="4" fontId="0" fillId="0" borderId="39" xfId="0" applyNumberFormat="1" applyBorder="1" applyAlignment="1" applyProtection="1">
      <alignment horizontal="center"/>
      <protection hidden="1"/>
    </xf>
    <xf numFmtId="0" fontId="0" fillId="0" borderId="49" xfId="0" applyBorder="1" applyAlignment="1" applyProtection="1">
      <alignment horizontal="center"/>
      <protection hidden="1"/>
    </xf>
    <xf numFmtId="0" fontId="0" fillId="0" borderId="49" xfId="0" applyBorder="1" applyProtection="1">
      <protection hidden="1"/>
    </xf>
    <xf numFmtId="0" fontId="0" fillId="0" borderId="46" xfId="0" applyBorder="1" applyProtection="1">
      <protection hidden="1"/>
    </xf>
    <xf numFmtId="0" fontId="0" fillId="0" borderId="61" xfId="0" applyBorder="1" applyProtection="1">
      <protection hidden="1"/>
    </xf>
    <xf numFmtId="0" fontId="0" fillId="0" borderId="54" xfId="0" applyBorder="1" applyProtection="1">
      <protection hidden="1"/>
    </xf>
    <xf numFmtId="0" fontId="0" fillId="0" borderId="55" xfId="0" applyBorder="1" applyProtection="1">
      <protection hidden="1"/>
    </xf>
    <xf numFmtId="0" fontId="0" fillId="3" borderId="46" xfId="0" applyFill="1" applyBorder="1" applyAlignment="1" applyProtection="1">
      <alignment horizontal="center"/>
      <protection locked="0"/>
    </xf>
    <xf numFmtId="0" fontId="0" fillId="3" borderId="61" xfId="0" applyFill="1" applyBorder="1" applyAlignment="1" applyProtection="1">
      <alignment horizontal="center"/>
      <protection locked="0"/>
    </xf>
    <xf numFmtId="1" fontId="0" fillId="0" borderId="54" xfId="0" applyNumberFormat="1" applyBorder="1" applyAlignment="1" applyProtection="1">
      <alignment horizontal="center"/>
      <protection hidden="1"/>
    </xf>
    <xf numFmtId="1" fontId="0" fillId="0" borderId="55" xfId="0" applyNumberFormat="1" applyBorder="1" applyAlignment="1" applyProtection="1">
      <alignment horizontal="center"/>
      <protection hidden="1"/>
    </xf>
    <xf numFmtId="0" fontId="0" fillId="0" borderId="84" xfId="0" applyBorder="1" applyAlignment="1" applyProtection="1">
      <alignment horizontal="left"/>
      <protection hidden="1"/>
    </xf>
    <xf numFmtId="0" fontId="0" fillId="3" borderId="39" xfId="0" applyFill="1" applyBorder="1" applyAlignment="1" applyProtection="1">
      <alignment horizontal="center"/>
      <protection locked="0"/>
    </xf>
    <xf numFmtId="0" fontId="0" fillId="3" borderId="5" xfId="0" applyFill="1" applyBorder="1" applyAlignment="1" applyProtection="1">
      <alignment horizontal="center"/>
      <protection locked="0"/>
    </xf>
    <xf numFmtId="0" fontId="0" fillId="0" borderId="5" xfId="0" applyBorder="1" applyProtection="1">
      <protection hidden="1"/>
    </xf>
    <xf numFmtId="1" fontId="0" fillId="0" borderId="39" xfId="0" applyNumberFormat="1" applyBorder="1" applyAlignment="1" applyProtection="1">
      <alignment horizontal="center"/>
      <protection hidden="1"/>
    </xf>
    <xf numFmtId="2" fontId="0" fillId="0" borderId="112" xfId="0" applyNumberFormat="1" applyBorder="1" applyProtection="1">
      <protection hidden="1"/>
    </xf>
    <xf numFmtId="2" fontId="0" fillId="0" borderId="53" xfId="0" applyNumberFormat="1" applyBorder="1" applyProtection="1">
      <protection hidden="1"/>
    </xf>
    <xf numFmtId="2" fontId="0" fillId="0" borderId="41" xfId="0" applyNumberFormat="1" applyBorder="1" applyProtection="1">
      <protection hidden="1"/>
    </xf>
    <xf numFmtId="2" fontId="0" fillId="0" borderId="21" xfId="0" applyNumberFormat="1" applyBorder="1" applyProtection="1">
      <protection hidden="1"/>
    </xf>
    <xf numFmtId="49" fontId="0" fillId="0" borderId="0" xfId="0" applyNumberFormat="1" applyProtection="1">
      <protection hidden="1"/>
    </xf>
    <xf numFmtId="0" fontId="1" fillId="6" borderId="83" xfId="3" applyFill="1" applyBorder="1" applyAlignment="1">
      <alignment horizontal="center"/>
    </xf>
    <xf numFmtId="0" fontId="1" fillId="0" borderId="6" xfId="2" applyFont="1" applyBorder="1"/>
    <xf numFmtId="0" fontId="5" fillId="0" borderId="6" xfId="2" applyBorder="1"/>
    <xf numFmtId="4" fontId="0" fillId="0" borderId="18" xfId="0" applyNumberFormat="1" applyBorder="1" applyAlignment="1" applyProtection="1">
      <alignment horizontal="center"/>
      <protection hidden="1"/>
    </xf>
    <xf numFmtId="0" fontId="1" fillId="7" borderId="78" xfId="0" applyFont="1" applyFill="1" applyBorder="1" applyProtection="1">
      <protection hidden="1"/>
    </xf>
    <xf numFmtId="2" fontId="0" fillId="7" borderId="113" xfId="0" applyNumberFormat="1" applyFill="1" applyBorder="1" applyProtection="1">
      <protection hidden="1"/>
    </xf>
    <xf numFmtId="2" fontId="0" fillId="7" borderId="114" xfId="0" applyNumberFormat="1" applyFill="1" applyBorder="1" applyProtection="1">
      <protection hidden="1"/>
    </xf>
    <xf numFmtId="0" fontId="0" fillId="0" borderId="28" xfId="0" applyBorder="1" applyProtection="1">
      <protection hidden="1"/>
    </xf>
    <xf numFmtId="1" fontId="0" fillId="7" borderId="39" xfId="0" applyNumberFormat="1" applyFill="1" applyBorder="1" applyAlignment="1" applyProtection="1">
      <alignment horizontal="center"/>
      <protection hidden="1"/>
    </xf>
    <xf numFmtId="1" fontId="0" fillId="7" borderId="55" xfId="0" applyNumberFormat="1" applyFill="1" applyBorder="1" applyAlignment="1" applyProtection="1">
      <alignment horizontal="center"/>
      <protection hidden="1"/>
    </xf>
    <xf numFmtId="4" fontId="0" fillId="0" borderId="40" xfId="0" applyNumberFormat="1" applyBorder="1" applyAlignment="1" applyProtection="1">
      <alignment horizontal="center"/>
      <protection hidden="1"/>
    </xf>
    <xf numFmtId="0" fontId="11" fillId="0" borderId="0" xfId="0" applyFont="1" applyProtection="1">
      <protection hidden="1"/>
    </xf>
    <xf numFmtId="0" fontId="23" fillId="7" borderId="0" xfId="0" applyFont="1" applyFill="1" applyProtection="1">
      <protection locked="0" hidden="1"/>
    </xf>
    <xf numFmtId="165" fontId="0" fillId="0" borderId="0" xfId="0" applyNumberFormat="1" applyAlignment="1" applyProtection="1">
      <alignment horizontal="left"/>
      <protection hidden="1"/>
    </xf>
    <xf numFmtId="164" fontId="0" fillId="0" borderId="22" xfId="0" applyNumberFormat="1" applyBorder="1" applyAlignment="1">
      <alignment horizontal="center"/>
    </xf>
    <xf numFmtId="164" fontId="0" fillId="0" borderId="13" xfId="0" applyNumberFormat="1" applyBorder="1" applyAlignment="1">
      <alignment horizontal="center"/>
    </xf>
    <xf numFmtId="164" fontId="0" fillId="0" borderId="12" xfId="0" applyNumberFormat="1" applyBorder="1" applyAlignment="1">
      <alignment horizontal="center"/>
    </xf>
    <xf numFmtId="0" fontId="0" fillId="0" borderId="12" xfId="0" applyBorder="1" applyAlignment="1">
      <alignment vertical="center"/>
    </xf>
    <xf numFmtId="0" fontId="0" fillId="0" borderId="24" xfId="0" applyBorder="1" applyAlignment="1" applyProtection="1">
      <alignment horizontal="center"/>
      <protection locked="0"/>
    </xf>
    <xf numFmtId="0" fontId="12" fillId="0" borderId="24" xfId="0" applyFont="1" applyBorder="1" applyAlignment="1">
      <alignment vertical="center"/>
    </xf>
    <xf numFmtId="0" fontId="4" fillId="0" borderId="24" xfId="0" applyFont="1" applyBorder="1" applyAlignment="1">
      <alignment horizontal="center"/>
    </xf>
    <xf numFmtId="9" fontId="4" fillId="0" borderId="0" xfId="1" applyFont="1" applyFill="1" applyAlignment="1">
      <alignment horizontal="center"/>
    </xf>
    <xf numFmtId="0" fontId="0" fillId="0" borderId="1" xfId="0" applyBorder="1" applyAlignment="1" applyProtection="1">
      <alignment horizontal="center" vertical="top"/>
      <protection locked="0"/>
    </xf>
    <xf numFmtId="0" fontId="15" fillId="0" borderId="46" xfId="0" applyFont="1" applyBorder="1" applyAlignment="1" applyProtection="1">
      <alignment horizontal="center" vertical="top"/>
      <protection locked="0"/>
    </xf>
    <xf numFmtId="0" fontId="0" fillId="0" borderId="12" xfId="0" applyBorder="1" applyAlignment="1" applyProtection="1">
      <alignment vertical="center"/>
      <protection hidden="1"/>
    </xf>
    <xf numFmtId="0" fontId="0" fillId="0" borderId="12" xfId="0" applyBorder="1" applyAlignment="1" applyProtection="1">
      <alignment horizontal="center" vertical="top"/>
      <protection locked="0"/>
    </xf>
    <xf numFmtId="0" fontId="0" fillId="0" borderId="4" xfId="0" applyBorder="1" applyAlignment="1" applyProtection="1">
      <alignment horizontal="center" vertical="top"/>
      <protection locked="0"/>
    </xf>
    <xf numFmtId="0" fontId="15" fillId="0" borderId="5" xfId="0" applyFont="1" applyBorder="1" applyAlignment="1" applyProtection="1">
      <alignment horizontal="center" vertical="top"/>
      <protection locked="0"/>
    </xf>
    <xf numFmtId="0" fontId="0" fillId="0" borderId="49" xfId="0" applyBorder="1" applyAlignment="1">
      <alignment vertical="center"/>
    </xf>
    <xf numFmtId="0" fontId="0" fillId="0" borderId="49" xfId="0" applyBorder="1" applyAlignment="1" applyProtection="1">
      <alignment horizontal="center"/>
      <protection locked="0"/>
    </xf>
    <xf numFmtId="0" fontId="0" fillId="0" borderId="48" xfId="0" applyBorder="1" applyAlignment="1" applyProtection="1">
      <alignment horizontal="center"/>
      <protection locked="0"/>
    </xf>
    <xf numFmtId="0" fontId="1" fillId="0" borderId="0" xfId="0" applyFont="1" applyAlignment="1">
      <alignment vertical="center"/>
    </xf>
    <xf numFmtId="0" fontId="4" fillId="0" borderId="0" xfId="0" applyFont="1" applyAlignment="1">
      <alignment horizontal="center" vertical="top"/>
    </xf>
    <xf numFmtId="0" fontId="4" fillId="0" borderId="62" xfId="0" applyFont="1" applyBorder="1" applyAlignment="1">
      <alignment horizontal="center"/>
    </xf>
    <xf numFmtId="0" fontId="4" fillId="0" borderId="41" xfId="0" applyFont="1" applyBorder="1" applyAlignment="1">
      <alignment horizontal="center"/>
    </xf>
    <xf numFmtId="0" fontId="4" fillId="0" borderId="55" xfId="0" applyFont="1" applyBorder="1" applyAlignment="1">
      <alignment horizontal="center"/>
    </xf>
    <xf numFmtId="0" fontId="25" fillId="3" borderId="26" xfId="0" applyFont="1" applyFill="1" applyBorder="1" applyAlignment="1" applyProtection="1">
      <alignment horizontal="center" vertical="center"/>
      <protection locked="0"/>
    </xf>
    <xf numFmtId="0" fontId="25" fillId="3" borderId="27" xfId="0" applyFont="1" applyFill="1" applyBorder="1" applyAlignment="1" applyProtection="1">
      <alignment horizontal="center" vertical="center"/>
      <protection locked="0"/>
    </xf>
    <xf numFmtId="0" fontId="24" fillId="3" borderId="27" xfId="0" applyFont="1" applyFill="1" applyBorder="1" applyAlignment="1" applyProtection="1">
      <alignment horizontal="center" vertical="center"/>
      <protection locked="0"/>
    </xf>
    <xf numFmtId="0" fontId="6" fillId="2" borderId="116" xfId="0" applyFont="1" applyFill="1" applyBorder="1" applyProtection="1">
      <protection hidden="1"/>
    </xf>
    <xf numFmtId="0" fontId="6" fillId="2" borderId="0" xfId="0" applyFont="1" applyFill="1" applyProtection="1">
      <protection hidden="1"/>
    </xf>
    <xf numFmtId="0" fontId="6" fillId="2" borderId="0" xfId="0" applyFont="1" applyFill="1" applyAlignment="1" applyProtection="1">
      <alignment vertical="center"/>
      <protection hidden="1"/>
    </xf>
    <xf numFmtId="0" fontId="6" fillId="2" borderId="1" xfId="0" applyFont="1" applyFill="1" applyBorder="1" applyProtection="1">
      <protection hidden="1"/>
    </xf>
    <xf numFmtId="0" fontId="6" fillId="2" borderId="81" xfId="0" applyFont="1" applyFill="1" applyBorder="1" applyAlignment="1" applyProtection="1">
      <alignment horizontal="center"/>
      <protection hidden="1"/>
    </xf>
    <xf numFmtId="0" fontId="6" fillId="2" borderId="116" xfId="0" applyFont="1" applyFill="1" applyBorder="1" applyAlignment="1" applyProtection="1">
      <alignment horizontal="center"/>
      <protection hidden="1"/>
    </xf>
    <xf numFmtId="0" fontId="6" fillId="2" borderId="69" xfId="0" applyFont="1" applyFill="1" applyBorder="1" applyAlignment="1" applyProtection="1">
      <alignment horizontal="center"/>
      <protection hidden="1"/>
    </xf>
    <xf numFmtId="0" fontId="6" fillId="5" borderId="46" xfId="0" applyFont="1" applyFill="1" applyBorder="1" applyProtection="1">
      <protection locked="0"/>
    </xf>
    <xf numFmtId="0" fontId="6" fillId="2" borderId="117" xfId="0" applyFont="1" applyFill="1" applyBorder="1" applyProtection="1">
      <protection hidden="1"/>
    </xf>
    <xf numFmtId="0" fontId="6" fillId="2" borderId="111" xfId="0" applyFont="1" applyFill="1" applyBorder="1" applyProtection="1">
      <protection hidden="1"/>
    </xf>
    <xf numFmtId="0" fontId="6" fillId="2" borderId="62" xfId="0" applyFont="1" applyFill="1" applyBorder="1" applyProtection="1">
      <protection hidden="1"/>
    </xf>
    <xf numFmtId="0" fontId="1" fillId="0" borderId="69" xfId="0" applyFont="1" applyBorder="1" applyAlignment="1" applyProtection="1">
      <alignment horizontal="center"/>
      <protection hidden="1"/>
    </xf>
    <xf numFmtId="0" fontId="6" fillId="5" borderId="70" xfId="0" applyFont="1" applyFill="1" applyBorder="1" applyAlignment="1" applyProtection="1">
      <alignment horizontal="left"/>
      <protection locked="0"/>
    </xf>
    <xf numFmtId="0" fontId="6" fillId="7" borderId="111" xfId="0" applyFont="1" applyFill="1" applyBorder="1" applyAlignment="1" applyProtection="1">
      <alignment horizontal="left"/>
      <protection locked="0"/>
    </xf>
    <xf numFmtId="2" fontId="4" fillId="0" borderId="0" xfId="0" applyNumberFormat="1" applyFont="1" applyAlignment="1">
      <alignment horizontal="center"/>
    </xf>
    <xf numFmtId="164" fontId="4" fillId="0" borderId="0" xfId="0" applyNumberFormat="1" applyFont="1" applyAlignment="1">
      <alignment horizontal="center"/>
    </xf>
    <xf numFmtId="0" fontId="4" fillId="0" borderId="25" xfId="0" applyFont="1" applyBorder="1" applyAlignment="1" applyProtection="1">
      <alignment horizontal="center" vertical="top"/>
      <protection hidden="1"/>
    </xf>
    <xf numFmtId="0" fontId="4" fillId="0" borderId="54" xfId="0" applyFont="1" applyBorder="1" applyAlignment="1" applyProtection="1">
      <alignment horizontal="center" vertical="top"/>
      <protection hidden="1"/>
    </xf>
    <xf numFmtId="0" fontId="4" fillId="0" borderId="68" xfId="0" applyFont="1" applyBorder="1" applyAlignment="1" applyProtection="1">
      <alignment horizontal="center" vertical="top"/>
      <protection hidden="1"/>
    </xf>
    <xf numFmtId="0" fontId="15" fillId="0" borderId="39" xfId="0" applyFont="1" applyBorder="1" applyAlignment="1" applyProtection="1">
      <alignment horizontal="center" vertical="top"/>
      <protection hidden="1"/>
    </xf>
    <xf numFmtId="0" fontId="13" fillId="0" borderId="30" xfId="2" applyFont="1" applyBorder="1" applyAlignment="1" applyProtection="1">
      <alignment horizontal="center"/>
      <protection locked="0"/>
    </xf>
    <xf numFmtId="49" fontId="0" fillId="0" borderId="12" xfId="0" quotePrefix="1" applyNumberFormat="1" applyBorder="1" applyAlignment="1" applyProtection="1">
      <alignment horizontal="center"/>
      <protection locked="0"/>
    </xf>
    <xf numFmtId="49" fontId="0" fillId="0" borderId="4" xfId="0" quotePrefix="1" applyNumberFormat="1" applyBorder="1" applyAlignment="1" applyProtection="1">
      <alignment horizontal="center"/>
      <protection locked="0"/>
    </xf>
    <xf numFmtId="0" fontId="1" fillId="0" borderId="6" xfId="3" applyBorder="1"/>
    <xf numFmtId="0" fontId="4" fillId="0" borderId="6" xfId="3" applyFont="1" applyBorder="1" applyAlignment="1">
      <alignment horizontal="left" vertical="top"/>
    </xf>
    <xf numFmtId="0" fontId="4" fillId="0" borderId="6" xfId="3" applyFont="1" applyBorder="1" applyAlignment="1">
      <alignment horizontal="center" vertical="top" wrapText="1"/>
    </xf>
    <xf numFmtId="0" fontId="5" fillId="0" borderId="31" xfId="2" applyBorder="1"/>
    <xf numFmtId="0" fontId="5" fillId="0" borderId="32" xfId="2" applyBorder="1" applyProtection="1">
      <protection hidden="1"/>
    </xf>
    <xf numFmtId="0" fontId="14" fillId="0" borderId="32" xfId="2" applyFont="1" applyBorder="1" applyAlignment="1">
      <alignment horizontal="center"/>
    </xf>
    <xf numFmtId="0" fontId="13" fillId="0" borderId="32" xfId="2" applyFont="1" applyBorder="1" applyAlignment="1">
      <alignment horizontal="center"/>
    </xf>
    <xf numFmtId="0" fontId="13" fillId="0" borderId="32" xfId="2" applyFont="1" applyBorder="1" applyAlignment="1" applyProtection="1">
      <alignment horizontal="center"/>
      <protection locked="0"/>
    </xf>
    <xf numFmtId="0" fontId="1" fillId="0" borderId="33" xfId="2" applyFont="1" applyBorder="1"/>
    <xf numFmtId="0" fontId="5" fillId="0" borderId="34" xfId="2" applyBorder="1"/>
    <xf numFmtId="0" fontId="1" fillId="0" borderId="35" xfId="2" applyFont="1" applyBorder="1"/>
    <xf numFmtId="0" fontId="5" fillId="0" borderId="36" xfId="2" applyBorder="1"/>
    <xf numFmtId="0" fontId="5" fillId="0" borderId="37" xfId="2" applyBorder="1" applyProtection="1">
      <protection hidden="1"/>
    </xf>
    <xf numFmtId="0" fontId="14" fillId="0" borderId="37" xfId="2" applyFont="1" applyBorder="1" applyAlignment="1">
      <alignment horizontal="center"/>
    </xf>
    <xf numFmtId="0" fontId="13" fillId="0" borderId="37" xfId="2" applyFont="1" applyBorder="1" applyAlignment="1">
      <alignment horizontal="center"/>
    </xf>
    <xf numFmtId="0" fontId="13" fillId="0" borderId="37" xfId="2" applyFont="1" applyBorder="1" applyAlignment="1" applyProtection="1">
      <alignment horizontal="center"/>
      <protection locked="0"/>
    </xf>
    <xf numFmtId="0" fontId="1" fillId="0" borderId="38" xfId="2" applyFont="1" applyBorder="1"/>
    <xf numFmtId="2" fontId="11" fillId="0" borderId="82" xfId="2" applyNumberFormat="1" applyFont="1" applyBorder="1"/>
    <xf numFmtId="0" fontId="11" fillId="0" borderId="18" xfId="2" applyFont="1" applyBorder="1"/>
    <xf numFmtId="0" fontId="1" fillId="0" borderId="18" xfId="3" applyBorder="1"/>
    <xf numFmtId="0" fontId="11" fillId="0" borderId="19" xfId="2" applyFont="1" applyBorder="1"/>
    <xf numFmtId="2" fontId="4" fillId="0" borderId="20" xfId="2" applyNumberFormat="1" applyFont="1" applyBorder="1"/>
    <xf numFmtId="0" fontId="5" fillId="0" borderId="8" xfId="2" applyBorder="1"/>
    <xf numFmtId="2" fontId="4" fillId="0" borderId="14" xfId="2" applyNumberFormat="1" applyFont="1" applyBorder="1"/>
    <xf numFmtId="0" fontId="5" fillId="0" borderId="84" xfId="2" applyBorder="1"/>
    <xf numFmtId="2" fontId="4" fillId="0" borderId="84" xfId="2" applyNumberFormat="1" applyFont="1" applyBorder="1"/>
    <xf numFmtId="0" fontId="5" fillId="0" borderId="28" xfId="2" applyBorder="1"/>
    <xf numFmtId="170" fontId="1" fillId="0" borderId="0" xfId="0" applyNumberFormat="1" applyFont="1" applyProtection="1">
      <protection hidden="1"/>
    </xf>
    <xf numFmtId="170" fontId="0" fillId="0" borderId="0" xfId="0" applyNumberFormat="1" applyProtection="1">
      <protection hidden="1"/>
    </xf>
    <xf numFmtId="170" fontId="1" fillId="0" borderId="0" xfId="0" applyNumberFormat="1" applyFont="1"/>
    <xf numFmtId="170" fontId="0" fillId="0" borderId="0" xfId="0" applyNumberFormat="1"/>
    <xf numFmtId="1" fontId="6" fillId="9" borderId="2" xfId="0" applyNumberFormat="1" applyFont="1" applyFill="1" applyBorder="1" applyAlignment="1" applyProtection="1">
      <alignment vertical="center"/>
      <protection hidden="1"/>
    </xf>
    <xf numFmtId="0" fontId="25" fillId="3" borderId="69" xfId="0" applyFont="1" applyFill="1" applyBorder="1" applyAlignment="1" applyProtection="1">
      <alignment horizontal="center" vertical="center"/>
      <protection locked="0"/>
    </xf>
    <xf numFmtId="0" fontId="25" fillId="7" borderId="27" xfId="0" applyFont="1" applyFill="1" applyBorder="1" applyAlignment="1">
      <alignment horizontal="center" vertical="center"/>
    </xf>
    <xf numFmtId="0" fontId="25" fillId="7" borderId="81" xfId="0" applyFont="1" applyFill="1" applyBorder="1" applyAlignment="1">
      <alignment horizontal="center" vertical="center"/>
    </xf>
    <xf numFmtId="0" fontId="6" fillId="7" borderId="0" xfId="0" applyFont="1" applyFill="1" applyProtection="1">
      <protection hidden="1"/>
    </xf>
    <xf numFmtId="0" fontId="0" fillId="7" borderId="7" xfId="0" applyFill="1" applyBorder="1" applyAlignment="1">
      <alignment horizontal="center"/>
    </xf>
    <xf numFmtId="0" fontId="0" fillId="7" borderId="20" xfId="0" applyFill="1" applyBorder="1" applyAlignment="1">
      <alignment horizontal="center"/>
    </xf>
    <xf numFmtId="0" fontId="0" fillId="7" borderId="25" xfId="0" applyFill="1" applyBorder="1" applyAlignment="1">
      <alignment horizontal="center"/>
    </xf>
    <xf numFmtId="0" fontId="0" fillId="7" borderId="14" xfId="0" applyFill="1" applyBorder="1" applyAlignment="1">
      <alignment horizontal="center"/>
    </xf>
    <xf numFmtId="0" fontId="6" fillId="2" borderId="18" xfId="0" applyFont="1" applyFill="1" applyBorder="1" applyProtection="1">
      <protection hidden="1"/>
    </xf>
    <xf numFmtId="0" fontId="6" fillId="2" borderId="28" xfId="0" applyFont="1" applyFill="1" applyBorder="1" applyAlignment="1" applyProtection="1">
      <alignment horizontal="center"/>
      <protection hidden="1"/>
    </xf>
    <xf numFmtId="0" fontId="6" fillId="2" borderId="118" xfId="0" applyFont="1" applyFill="1" applyBorder="1" applyProtection="1">
      <protection hidden="1"/>
    </xf>
    <xf numFmtId="14" fontId="6" fillId="5" borderId="42" xfId="0" applyNumberFormat="1" applyFont="1" applyFill="1" applyBorder="1" applyAlignment="1" applyProtection="1">
      <alignment horizontal="center"/>
      <protection hidden="1"/>
    </xf>
    <xf numFmtId="0" fontId="6" fillId="5" borderId="46" xfId="0" applyFont="1" applyFill="1" applyBorder="1" applyAlignment="1" applyProtection="1">
      <alignment horizontal="center"/>
      <protection hidden="1"/>
    </xf>
    <xf numFmtId="0" fontId="17" fillId="2" borderId="48" xfId="0" applyFont="1" applyFill="1" applyBorder="1" applyAlignment="1" applyProtection="1">
      <alignment horizontal="center"/>
      <protection hidden="1"/>
    </xf>
    <xf numFmtId="0" fontId="17" fillId="2" borderId="62" xfId="0" applyFont="1" applyFill="1" applyBorder="1" applyAlignment="1" applyProtection="1">
      <alignment horizontal="center"/>
      <protection hidden="1"/>
    </xf>
    <xf numFmtId="0" fontId="6" fillId="2" borderId="1" xfId="0" applyFont="1" applyFill="1" applyBorder="1" applyProtection="1">
      <protection hidden="1"/>
    </xf>
    <xf numFmtId="0" fontId="6" fillId="2" borderId="42" xfId="0" applyFont="1" applyFill="1" applyBorder="1" applyProtection="1">
      <protection hidden="1"/>
    </xf>
    <xf numFmtId="0" fontId="6" fillId="5" borderId="42" xfId="0" applyFont="1" applyFill="1" applyBorder="1" applyProtection="1">
      <protection locked="0"/>
    </xf>
    <xf numFmtId="0" fontId="6" fillId="5" borderId="46" xfId="0" applyFont="1" applyFill="1" applyBorder="1" applyProtection="1">
      <protection locked="0"/>
    </xf>
    <xf numFmtId="0" fontId="6" fillId="5" borderId="42" xfId="0" applyFont="1" applyFill="1" applyBorder="1" applyAlignment="1" applyProtection="1">
      <alignment horizontal="left"/>
      <protection locked="0"/>
    </xf>
    <xf numFmtId="0" fontId="6" fillId="5" borderId="46" xfId="0" applyFont="1" applyFill="1" applyBorder="1" applyAlignment="1" applyProtection="1">
      <alignment horizontal="left"/>
      <protection locked="0"/>
    </xf>
    <xf numFmtId="0" fontId="5" fillId="0" borderId="17" xfId="0" applyFont="1" applyBorder="1" applyAlignment="1">
      <alignment horizontal="center" vertical="center" textRotation="180" wrapText="1"/>
    </xf>
    <xf numFmtId="0" fontId="5" fillId="0" borderId="21" xfId="0" applyFont="1" applyBorder="1" applyAlignment="1">
      <alignment horizontal="center" vertical="center" textRotation="180" wrapText="1"/>
    </xf>
    <xf numFmtId="0" fontId="5" fillId="0" borderId="23" xfId="0" applyFont="1" applyBorder="1" applyAlignment="1">
      <alignment horizontal="center" vertical="center" textRotation="180" wrapText="1"/>
    </xf>
    <xf numFmtId="0" fontId="5" fillId="0" borderId="6" xfId="0" applyFont="1" applyBorder="1" applyAlignment="1" applyProtection="1">
      <alignment horizontal="center"/>
      <protection hidden="1"/>
    </xf>
    <xf numFmtId="0" fontId="0" fillId="0" borderId="6" xfId="0" applyBorder="1" applyProtection="1">
      <protection hidden="1"/>
    </xf>
    <xf numFmtId="14" fontId="0" fillId="3" borderId="0" xfId="0" applyNumberFormat="1" applyFill="1" applyAlignment="1" applyProtection="1">
      <alignment horizontal="center"/>
      <protection locked="0"/>
    </xf>
    <xf numFmtId="0" fontId="0" fillId="3" borderId="0" xfId="0" applyFill="1" applyAlignment="1" applyProtection="1">
      <alignment horizontal="center"/>
      <protection locked="0"/>
    </xf>
    <xf numFmtId="0" fontId="9" fillId="0" borderId="0" xfId="0" applyFont="1" applyAlignment="1" applyProtection="1">
      <alignment horizontal="left"/>
      <protection hidden="1"/>
    </xf>
    <xf numFmtId="0" fontId="0" fillId="0" borderId="47" xfId="0" applyBorder="1" applyAlignment="1">
      <alignment horizontal="center"/>
    </xf>
    <xf numFmtId="0" fontId="0" fillId="0" borderId="1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0" xfId="0" applyFont="1" applyAlignment="1">
      <alignment horizontal="center"/>
    </xf>
    <xf numFmtId="0" fontId="1" fillId="0" borderId="8" xfId="0" applyFont="1" applyBorder="1" applyAlignment="1">
      <alignment horizontal="center"/>
    </xf>
    <xf numFmtId="0" fontId="6" fillId="2" borderId="116" xfId="0" applyFont="1" applyFill="1" applyBorder="1" applyProtection="1">
      <protection hidden="1"/>
    </xf>
    <xf numFmtId="0" fontId="6" fillId="2" borderId="70" xfId="0" applyFont="1" applyFill="1" applyBorder="1" applyProtection="1">
      <protection hidden="1"/>
    </xf>
    <xf numFmtId="14" fontId="6" fillId="5" borderId="70" xfId="0" applyNumberFormat="1" applyFont="1" applyFill="1" applyBorder="1" applyAlignment="1" applyProtection="1">
      <alignment horizontal="center"/>
      <protection hidden="1"/>
    </xf>
    <xf numFmtId="0" fontId="6" fillId="5" borderId="111" xfId="0" applyFont="1" applyFill="1" applyBorder="1" applyAlignment="1" applyProtection="1">
      <alignment horizontal="center"/>
      <protection hidden="1"/>
    </xf>
    <xf numFmtId="0" fontId="17" fillId="2" borderId="116" xfId="0" applyFont="1" applyFill="1" applyBorder="1" applyAlignment="1" applyProtection="1">
      <alignment horizontal="center"/>
      <protection hidden="1"/>
    </xf>
    <xf numFmtId="0" fontId="17" fillId="2" borderId="70" xfId="0" applyFont="1" applyFill="1" applyBorder="1" applyAlignment="1" applyProtection="1">
      <alignment horizontal="center"/>
      <protection hidden="1"/>
    </xf>
    <xf numFmtId="0" fontId="17" fillId="2" borderId="111" xfId="0" applyFont="1" applyFill="1" applyBorder="1" applyAlignment="1" applyProtection="1">
      <alignment horizontal="center"/>
      <protection hidden="1"/>
    </xf>
    <xf numFmtId="0" fontId="6" fillId="5" borderId="70" xfId="0" applyFont="1" applyFill="1" applyBorder="1" applyAlignment="1" applyProtection="1">
      <alignment horizontal="left"/>
      <protection locked="0"/>
    </xf>
    <xf numFmtId="0" fontId="6" fillId="5" borderId="111" xfId="0" applyFont="1" applyFill="1" applyBorder="1" applyAlignment="1" applyProtection="1">
      <alignment horizontal="left"/>
      <protection locked="0"/>
    </xf>
    <xf numFmtId="0" fontId="17" fillId="2" borderId="119" xfId="0" applyFont="1" applyFill="1" applyBorder="1" applyAlignment="1" applyProtection="1">
      <alignment horizontal="center"/>
      <protection hidden="1"/>
    </xf>
    <xf numFmtId="0" fontId="17" fillId="2" borderId="120" xfId="0" applyFont="1" applyFill="1" applyBorder="1" applyAlignment="1" applyProtection="1">
      <alignment horizontal="center"/>
      <protection hidden="1"/>
    </xf>
    <xf numFmtId="0" fontId="0" fillId="0" borderId="0" xfId="0" applyAlignment="1" applyProtection="1">
      <alignment horizontal="center"/>
      <protection hidden="1"/>
    </xf>
    <xf numFmtId="0" fontId="1" fillId="0" borderId="70" xfId="0" applyFont="1" applyBorder="1" applyAlignment="1" applyProtection="1">
      <alignment horizontal="center"/>
      <protection hidden="1"/>
    </xf>
    <xf numFmtId="0" fontId="0" fillId="0" borderId="111" xfId="0" applyBorder="1" applyAlignment="1" applyProtection="1">
      <alignment horizontal="center"/>
      <protection hidden="1"/>
    </xf>
    <xf numFmtId="0" fontId="0" fillId="0" borderId="0" xfId="0" applyAlignment="1" applyProtection="1">
      <alignment horizontal="left"/>
      <protection hidden="1"/>
    </xf>
    <xf numFmtId="0" fontId="0" fillId="0" borderId="70" xfId="0" applyBorder="1" applyAlignment="1" applyProtection="1">
      <alignment horizontal="center"/>
      <protection hidden="1"/>
    </xf>
    <xf numFmtId="0" fontId="0" fillId="0" borderId="78" xfId="0" applyBorder="1" applyAlignment="1" applyProtection="1">
      <alignment horizontal="center"/>
      <protection hidden="1"/>
    </xf>
    <xf numFmtId="0" fontId="1" fillId="0" borderId="117" xfId="0" applyFont="1" applyBorder="1" applyAlignment="1" applyProtection="1">
      <alignment horizontal="center"/>
      <protection hidden="1"/>
    </xf>
    <xf numFmtId="0" fontId="1" fillId="0" borderId="78" xfId="0" applyFont="1" applyBorder="1" applyAlignment="1" applyProtection="1">
      <alignment horizontal="center"/>
      <protection hidden="1"/>
    </xf>
    <xf numFmtId="0" fontId="18" fillId="0" borderId="68" xfId="0" applyFont="1" applyBorder="1" applyAlignment="1">
      <alignment horizontal="center"/>
    </xf>
    <xf numFmtId="0" fontId="18" fillId="0" borderId="42" xfId="0" applyFont="1" applyBorder="1" applyAlignment="1">
      <alignment horizontal="center"/>
    </xf>
    <xf numFmtId="0" fontId="15" fillId="0" borderId="7" xfId="0" applyFont="1" applyBorder="1" applyAlignment="1">
      <alignment horizontal="center"/>
    </xf>
    <xf numFmtId="0" fontId="15" fillId="0" borderId="115" xfId="0" applyFont="1" applyBorder="1" applyAlignment="1">
      <alignment horizontal="center"/>
    </xf>
    <xf numFmtId="0" fontId="12" fillId="6" borderId="1" xfId="2" applyFont="1" applyFill="1" applyBorder="1" applyAlignment="1">
      <alignment horizontal="center"/>
    </xf>
    <xf numFmtId="0" fontId="12" fillId="6" borderId="42" xfId="2" applyFont="1" applyFill="1" applyBorder="1" applyAlignment="1">
      <alignment horizontal="center"/>
    </xf>
    <xf numFmtId="0" fontId="12" fillId="6" borderId="46" xfId="2" applyFont="1" applyFill="1" applyBorder="1" applyAlignment="1">
      <alignment horizontal="center"/>
    </xf>
    <xf numFmtId="0" fontId="4" fillId="0" borderId="0" xfId="2" applyFont="1" applyAlignment="1">
      <alignment horizontal="center" vertical="top" wrapText="1"/>
    </xf>
    <xf numFmtId="0" fontId="5" fillId="6" borderId="6" xfId="2" applyFill="1" applyBorder="1"/>
    <xf numFmtId="0" fontId="5" fillId="0" borderId="6" xfId="2" applyBorder="1" applyAlignment="1">
      <alignment horizontal="center"/>
    </xf>
    <xf numFmtId="0" fontId="5" fillId="0" borderId="6" xfId="2" applyBorder="1"/>
    <xf numFmtId="0" fontId="4" fillId="0" borderId="0" xfId="2" applyFont="1" applyAlignment="1">
      <alignment horizontal="center" wrapText="1"/>
    </xf>
    <xf numFmtId="0" fontId="4" fillId="0" borderId="0" xfId="2" applyFont="1" applyAlignment="1">
      <alignment horizontal="center"/>
    </xf>
    <xf numFmtId="2" fontId="4" fillId="0" borderId="1" xfId="2" applyNumberFormat="1" applyFont="1" applyBorder="1" applyAlignment="1">
      <alignment horizontal="center"/>
    </xf>
    <xf numFmtId="2" fontId="4" fillId="0" borderId="42" xfId="2" applyNumberFormat="1" applyFont="1" applyBorder="1" applyAlignment="1">
      <alignment horizontal="center"/>
    </xf>
    <xf numFmtId="2" fontId="4" fillId="0" borderId="46" xfId="2" applyNumberFormat="1" applyFont="1" applyBorder="1" applyAlignment="1">
      <alignment horizontal="center"/>
    </xf>
    <xf numFmtId="0" fontId="5" fillId="0" borderId="50" xfId="2" applyBorder="1" applyAlignment="1">
      <alignment horizontal="center"/>
    </xf>
    <xf numFmtId="0" fontId="5" fillId="0" borderId="0" xfId="2" applyAlignment="1">
      <alignment horizontal="center"/>
    </xf>
    <xf numFmtId="168" fontId="5" fillId="0" borderId="0" xfId="2" applyNumberFormat="1" applyAlignment="1">
      <alignment horizontal="center"/>
    </xf>
    <xf numFmtId="0" fontId="4" fillId="0" borderId="1" xfId="2" applyFont="1" applyBorder="1" applyAlignment="1">
      <alignment horizontal="left" wrapText="1"/>
    </xf>
    <xf numFmtId="0" fontId="4" fillId="0" borderId="42" xfId="2" applyFont="1" applyBorder="1" applyAlignment="1">
      <alignment horizontal="left" wrapText="1"/>
    </xf>
    <xf numFmtId="0" fontId="4" fillId="0" borderId="46" xfId="2" applyFont="1" applyBorder="1" applyAlignment="1">
      <alignment horizontal="left" wrapText="1"/>
    </xf>
    <xf numFmtId="0" fontId="4" fillId="6" borderId="1" xfId="2" applyFont="1" applyFill="1" applyBorder="1" applyAlignment="1">
      <alignment horizontal="center"/>
    </xf>
    <xf numFmtId="0" fontId="4" fillId="6" borderId="42" xfId="2" applyFont="1" applyFill="1" applyBorder="1" applyAlignment="1">
      <alignment horizontal="center"/>
    </xf>
    <xf numFmtId="0" fontId="4" fillId="6" borderId="46" xfId="2" applyFont="1" applyFill="1" applyBorder="1" applyAlignment="1">
      <alignment horizontal="center"/>
    </xf>
    <xf numFmtId="0" fontId="1" fillId="0" borderId="50" xfId="3" applyBorder="1" applyAlignment="1">
      <alignment horizontal="center"/>
    </xf>
    <xf numFmtId="0" fontId="12" fillId="6" borderId="1" xfId="3" applyFont="1" applyFill="1" applyBorder="1" applyAlignment="1">
      <alignment horizontal="center"/>
    </xf>
    <xf numFmtId="0" fontId="12" fillId="6" borderId="42" xfId="3" applyFont="1" applyFill="1" applyBorder="1" applyAlignment="1">
      <alignment horizontal="center"/>
    </xf>
    <xf numFmtId="0" fontId="12" fillId="6" borderId="46" xfId="3" applyFont="1" applyFill="1" applyBorder="1" applyAlignment="1">
      <alignment horizontal="center"/>
    </xf>
    <xf numFmtId="0" fontId="4" fillId="6" borderId="1" xfId="3" applyFont="1" applyFill="1" applyBorder="1" applyAlignment="1">
      <alignment horizontal="center"/>
    </xf>
    <xf numFmtId="0" fontId="4" fillId="6" borderId="42" xfId="3" applyFont="1" applyFill="1" applyBorder="1" applyAlignment="1">
      <alignment horizontal="center"/>
    </xf>
    <xf numFmtId="0" fontId="4" fillId="6" borderId="46" xfId="3" applyFont="1" applyFill="1" applyBorder="1" applyAlignment="1">
      <alignment horizontal="center"/>
    </xf>
    <xf numFmtId="2" fontId="4" fillId="0" borderId="1" xfId="3" applyNumberFormat="1" applyFont="1" applyBorder="1" applyAlignment="1">
      <alignment horizontal="center"/>
    </xf>
    <xf numFmtId="2" fontId="4" fillId="0" borderId="42" xfId="3" applyNumberFormat="1" applyFont="1" applyBorder="1" applyAlignment="1">
      <alignment horizontal="center"/>
    </xf>
    <xf numFmtId="2" fontId="4" fillId="0" borderId="46" xfId="3" applyNumberFormat="1" applyFont="1" applyBorder="1" applyAlignment="1">
      <alignment horizontal="center"/>
    </xf>
    <xf numFmtId="0" fontId="4" fillId="0" borderId="1" xfId="3" applyFont="1" applyBorder="1" applyAlignment="1">
      <alignment horizontal="left" wrapText="1"/>
    </xf>
    <xf numFmtId="0" fontId="4" fillId="0" borderId="42" xfId="3" applyFont="1" applyBorder="1" applyAlignment="1">
      <alignment horizontal="left" wrapText="1"/>
    </xf>
    <xf numFmtId="0" fontId="4" fillId="0" borderId="46" xfId="3" applyFont="1" applyBorder="1" applyAlignment="1">
      <alignment horizontal="left" wrapText="1"/>
    </xf>
    <xf numFmtId="168" fontId="1" fillId="0" borderId="0" xfId="3" applyNumberFormat="1" applyAlignment="1">
      <alignment horizontal="left"/>
    </xf>
    <xf numFmtId="0" fontId="1" fillId="6" borderId="9" xfId="3" applyFill="1" applyBorder="1" applyAlignment="1">
      <alignment horizontal="center"/>
    </xf>
    <xf numFmtId="0" fontId="1" fillId="6" borderId="10" xfId="3" applyFill="1" applyBorder="1" applyAlignment="1">
      <alignment horizontal="center"/>
    </xf>
    <xf numFmtId="0" fontId="1" fillId="4" borderId="9" xfId="3" applyFill="1" applyBorder="1" applyAlignment="1">
      <alignment horizontal="center"/>
    </xf>
    <xf numFmtId="0" fontId="1" fillId="4" borderId="10" xfId="3" applyFill="1" applyBorder="1" applyAlignment="1">
      <alignment horizontal="center"/>
    </xf>
    <xf numFmtId="0" fontId="1" fillId="4" borderId="11" xfId="3" applyFill="1" applyBorder="1" applyAlignment="1">
      <alignment horizontal="center"/>
    </xf>
    <xf numFmtId="0" fontId="19" fillId="6" borderId="82" xfId="3" applyFont="1" applyFill="1" applyBorder="1" applyAlignment="1">
      <alignment horizontal="left" vertical="center"/>
    </xf>
    <xf numFmtId="0" fontId="19" fillId="6" borderId="14" xfId="3" applyFont="1" applyFill="1" applyBorder="1" applyAlignment="1">
      <alignment horizontal="left" vertical="center"/>
    </xf>
    <xf numFmtId="1" fontId="19" fillId="0" borderId="82" xfId="3" applyNumberFormat="1" applyFont="1" applyBorder="1" applyAlignment="1" applyProtection="1">
      <alignment horizontal="center" vertical="center"/>
      <protection locked="0"/>
    </xf>
    <xf numFmtId="1" fontId="19" fillId="0" borderId="14" xfId="3" applyNumberFormat="1" applyFont="1" applyBorder="1" applyAlignment="1" applyProtection="1">
      <alignment horizontal="center" vertical="center"/>
      <protection locked="0"/>
    </xf>
    <xf numFmtId="1" fontId="19" fillId="0" borderId="18" xfId="3" applyNumberFormat="1" applyFont="1" applyBorder="1" applyAlignment="1" applyProtection="1">
      <alignment horizontal="center" vertical="center"/>
      <protection locked="0"/>
    </xf>
    <xf numFmtId="1" fontId="19" fillId="0" borderId="84" xfId="3" applyNumberFormat="1" applyFont="1" applyBorder="1" applyAlignment="1" applyProtection="1">
      <alignment horizontal="center" vertical="center"/>
      <protection locked="0"/>
    </xf>
    <xf numFmtId="0" fontId="4" fillId="4" borderId="82" xfId="3" applyFont="1" applyFill="1" applyBorder="1" applyAlignment="1">
      <alignment horizontal="center"/>
    </xf>
    <xf numFmtId="0" fontId="4" fillId="4" borderId="18" xfId="3" applyFont="1" applyFill="1" applyBorder="1" applyAlignment="1">
      <alignment horizontal="center"/>
    </xf>
    <xf numFmtId="0" fontId="4" fillId="4" borderId="19" xfId="3" applyFont="1" applyFill="1" applyBorder="1" applyAlignment="1">
      <alignment horizontal="center"/>
    </xf>
    <xf numFmtId="2" fontId="4" fillId="6" borderId="82" xfId="3" applyNumberFormat="1" applyFont="1" applyFill="1" applyBorder="1" applyAlignment="1">
      <alignment horizontal="center"/>
    </xf>
    <xf numFmtId="2" fontId="4" fillId="6" borderId="19" xfId="3" applyNumberFormat="1" applyFont="1" applyFill="1" applyBorder="1" applyAlignment="1">
      <alignment horizontal="center"/>
    </xf>
    <xf numFmtId="0" fontId="1" fillId="6" borderId="7" xfId="3" applyFill="1" applyBorder="1" applyAlignment="1">
      <alignment horizontal="center"/>
    </xf>
    <xf numFmtId="0" fontId="1" fillId="6" borderId="11" xfId="3" applyFill="1" applyBorder="1" applyAlignment="1">
      <alignment horizontal="center"/>
    </xf>
    <xf numFmtId="0" fontId="1" fillId="4" borderId="7" xfId="3" applyFill="1" applyBorder="1" applyAlignment="1">
      <alignment horizontal="center"/>
    </xf>
    <xf numFmtId="1" fontId="19" fillId="0" borderId="16" xfId="3" applyNumberFormat="1" applyFont="1" applyBorder="1" applyAlignment="1" applyProtection="1">
      <alignment horizontal="center" vertical="center"/>
      <protection locked="0"/>
    </xf>
    <xf numFmtId="1" fontId="19" fillId="0" borderId="85" xfId="3" applyNumberFormat="1" applyFont="1" applyBorder="1" applyAlignment="1" applyProtection="1">
      <alignment horizontal="center" vertical="center"/>
      <protection locked="0"/>
    </xf>
    <xf numFmtId="0" fontId="19" fillId="0" borderId="93" xfId="3" applyFont="1" applyBorder="1" applyAlignment="1">
      <alignment horizontal="center" vertical="center"/>
    </xf>
    <xf numFmtId="0" fontId="19" fillId="0" borderId="27" xfId="3" applyFont="1" applyBorder="1" applyAlignment="1">
      <alignment horizontal="center" vertical="center"/>
    </xf>
    <xf numFmtId="0" fontId="19" fillId="4" borderId="93" xfId="3" applyFont="1" applyFill="1" applyBorder="1" applyAlignment="1">
      <alignment horizontal="center" vertical="center"/>
    </xf>
    <xf numFmtId="0" fontId="19" fillId="4" borderId="27" xfId="3" applyFont="1" applyFill="1" applyBorder="1" applyAlignment="1">
      <alignment horizontal="center" vertical="center"/>
    </xf>
    <xf numFmtId="0" fontId="19" fillId="4" borderId="94" xfId="3" applyFont="1" applyFill="1" applyBorder="1" applyAlignment="1">
      <alignment horizontal="center" vertical="center"/>
    </xf>
    <xf numFmtId="0" fontId="19" fillId="4" borderId="40" xfId="3" applyFont="1" applyFill="1" applyBorder="1" applyAlignment="1">
      <alignment horizontal="center" vertical="center"/>
    </xf>
    <xf numFmtId="1" fontId="19" fillId="0" borderId="20" xfId="3" applyNumberFormat="1" applyFont="1" applyBorder="1" applyAlignment="1" applyProtection="1">
      <alignment horizontal="center" vertical="center"/>
      <protection locked="0"/>
    </xf>
    <xf numFmtId="1" fontId="19" fillId="0" borderId="0" xfId="3" applyNumberFormat="1" applyFont="1" applyAlignment="1" applyProtection="1">
      <alignment horizontal="center" vertical="center"/>
      <protection locked="0"/>
    </xf>
    <xf numFmtId="1" fontId="19" fillId="0" borderId="3" xfId="3" applyNumberFormat="1" applyFont="1" applyBorder="1" applyAlignment="1" applyProtection="1">
      <alignment horizontal="center" vertical="center"/>
      <protection locked="0"/>
    </xf>
    <xf numFmtId="0" fontId="19" fillId="0" borderId="22" xfId="3" applyFont="1" applyBorder="1" applyAlignment="1">
      <alignment horizontal="center" vertical="center"/>
    </xf>
  </cellXfs>
  <cellStyles count="4">
    <cellStyle name="Prozent" xfId="1" builtinId="5"/>
    <cellStyle name="Standard" xfId="0" builtinId="0"/>
    <cellStyle name="Standard 2" xfId="2" xr:uid="{00000000-0005-0000-0000-000002000000}"/>
    <cellStyle name="Standard 3" xfId="3" xr:uid="{00000000-0005-0000-0000-000003000000}"/>
  </cellStyles>
  <dxfs count="100">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42"/>
        </patternFill>
      </fill>
    </dxf>
    <dxf>
      <fill>
        <patternFill>
          <bgColor rgb="FF92D05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42"/>
        </patternFill>
      </fill>
    </dxf>
    <dxf>
      <fill>
        <patternFill>
          <bgColor indexed="42"/>
        </patternFill>
      </fill>
    </dxf>
    <dxf>
      <fill>
        <patternFill>
          <bgColor rgb="FF92D050"/>
        </patternFill>
      </fill>
    </dxf>
    <dxf>
      <fill>
        <patternFill>
          <bgColor rgb="FF92D050"/>
        </patternFill>
      </fill>
    </dxf>
    <dxf>
      <fill>
        <patternFill>
          <bgColor indexed="10"/>
        </patternFill>
      </fill>
    </dxf>
    <dxf>
      <fill>
        <patternFill>
          <bgColor indexed="10"/>
        </patternFill>
      </fill>
    </dxf>
    <dxf>
      <fill>
        <patternFill>
          <fgColor rgb="FFCCFFFF"/>
          <bgColor rgb="FFCCFFFF"/>
        </patternFill>
      </fill>
    </dxf>
    <dxf>
      <fill>
        <patternFill patternType="lightTrellis"/>
      </fill>
    </dxf>
    <dxf>
      <fill>
        <patternFill>
          <bgColor indexed="34"/>
        </patternFill>
      </fill>
    </dxf>
    <dxf>
      <fill>
        <patternFill>
          <bgColor indexed="10"/>
        </patternFill>
      </fill>
    </dxf>
    <dxf>
      <font>
        <condense val="0"/>
        <extend val="0"/>
        <color indexed="8"/>
      </font>
    </dxf>
    <dxf>
      <font>
        <color theme="0" tint="-0.34998626667073579"/>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
      <font>
        <color rgb="FFC00000"/>
      </font>
    </dxf>
    <dxf>
      <font>
        <condense val="0"/>
        <extend val="0"/>
        <color indexed="8"/>
      </font>
    </dxf>
    <dxf>
      <font>
        <color theme="0" tint="-0.34998626667073579"/>
      </font>
    </dxf>
    <dxf>
      <font>
        <color rgb="FFC00000"/>
      </font>
    </dxf>
  </dxfs>
  <tableStyles count="0" defaultTableStyle="TableStyleMedium2" defaultPivotStyle="PivotStyleLight16"/>
  <colors>
    <mruColors>
      <color rgb="FFCCFFFF"/>
      <color rgb="FF66FFFF"/>
      <color rgb="FF66CCFF"/>
      <color rgb="FF99CCFF"/>
      <color rgb="FFFFFFCC"/>
      <color rgb="FFFFFF99"/>
      <color rgb="FFFFCC66"/>
      <color rgb="FF66FF33"/>
      <color rgb="FFCEEAB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indexed="35"/>
    <pageSetUpPr fitToPage="1"/>
  </sheetPr>
  <dimension ref="A1:AJ91"/>
  <sheetViews>
    <sheetView showGridLines="0" zoomScale="115" zoomScaleNormal="115" zoomScalePageLayoutView="160" workbookViewId="0">
      <pane xSplit="2" ySplit="3" topLeftCell="C4" activePane="bottomRight" state="frozen"/>
      <selection activeCell="K27" sqref="K27"/>
      <selection pane="topRight" activeCell="K27" sqref="K27"/>
      <selection pane="bottomLeft" activeCell="K27" sqref="K27"/>
      <selection pane="bottomRight" activeCell="C4" sqref="C4"/>
    </sheetView>
  </sheetViews>
  <sheetFormatPr baseColWidth="10" defaultRowHeight="12.75" x14ac:dyDescent="0.2"/>
  <cols>
    <col min="1" max="1" width="3.7109375" style="114" customWidth="1"/>
    <col min="2" max="2" width="25.140625" style="114" customWidth="1"/>
    <col min="3" max="10" width="4.28515625" style="114" customWidth="1"/>
    <col min="11" max="15" width="6.7109375" style="114" customWidth="1"/>
    <col min="16" max="16" width="3" style="114" customWidth="1"/>
    <col min="17" max="17" width="3.42578125" style="114" customWidth="1"/>
    <col min="18" max="18" width="4.42578125" style="114" customWidth="1"/>
    <col min="19" max="19" width="5.140625" style="114" customWidth="1"/>
    <col min="20" max="20" width="4.42578125" style="114" customWidth="1"/>
    <col min="21" max="21" width="3" style="114" customWidth="1"/>
    <col min="22" max="25" width="5.140625" style="114" customWidth="1"/>
    <col min="26" max="26" width="11" style="114" customWidth="1"/>
    <col min="27" max="29" width="4" style="114" customWidth="1"/>
    <col min="30" max="30" width="0" style="114" hidden="1" customWidth="1"/>
    <col min="31" max="31" width="5.28515625" style="114" hidden="1" customWidth="1"/>
    <col min="32" max="16384" width="11.42578125" style="114"/>
  </cols>
  <sheetData>
    <row r="1" spans="1:35" x14ac:dyDescent="0.2">
      <c r="A1" s="145" t="s">
        <v>5</v>
      </c>
      <c r="B1" s="390"/>
      <c r="C1" s="386" t="s">
        <v>33</v>
      </c>
      <c r="D1" s="190"/>
      <c r="E1" s="455"/>
      <c r="F1" s="455"/>
      <c r="G1" s="455"/>
      <c r="H1" s="456"/>
      <c r="I1" s="453" t="s">
        <v>79</v>
      </c>
      <c r="J1" s="454"/>
      <c r="K1" s="457"/>
      <c r="L1" s="458"/>
      <c r="M1" s="386" t="s">
        <v>6</v>
      </c>
      <c r="N1" s="449">
        <f ca="1">TODAY()</f>
        <v>46296</v>
      </c>
      <c r="O1" s="450"/>
      <c r="P1" s="384"/>
      <c r="Q1" s="384"/>
      <c r="R1" s="384"/>
      <c r="S1" s="384"/>
      <c r="T1" s="384"/>
      <c r="U1" s="384"/>
      <c r="V1" s="384"/>
      <c r="W1" s="384"/>
      <c r="X1" s="384"/>
      <c r="Y1" s="384"/>
      <c r="Z1" s="384"/>
      <c r="AA1" s="384"/>
      <c r="AB1" s="384"/>
      <c r="AC1" s="384"/>
      <c r="AD1" s="384"/>
      <c r="AE1" s="384"/>
      <c r="AF1" s="384"/>
      <c r="AG1" s="384"/>
      <c r="AH1" s="384"/>
      <c r="AI1" s="384"/>
    </row>
    <row r="2" spans="1:35" ht="13.5" thickBot="1" x14ac:dyDescent="0.25">
      <c r="A2" s="137"/>
      <c r="B2" s="123" t="s">
        <v>57</v>
      </c>
      <c r="C2" s="451" t="s">
        <v>0</v>
      </c>
      <c r="D2" s="452"/>
      <c r="E2" s="452"/>
      <c r="F2" s="452"/>
      <c r="G2" s="452"/>
      <c r="H2" s="452"/>
      <c r="I2" s="452"/>
      <c r="J2" s="452"/>
      <c r="K2" s="452"/>
      <c r="L2" s="452"/>
      <c r="M2" s="452"/>
      <c r="N2" s="452"/>
      <c r="O2" s="452"/>
      <c r="P2" s="384"/>
      <c r="Q2" s="384"/>
      <c r="R2" s="384"/>
      <c r="S2" s="384"/>
      <c r="T2" s="384"/>
      <c r="U2" s="384"/>
      <c r="V2" s="384"/>
      <c r="W2" s="384"/>
      <c r="X2" s="384"/>
      <c r="Y2" s="384"/>
      <c r="Z2" s="384"/>
      <c r="AA2" s="384"/>
      <c r="AB2" s="384"/>
      <c r="AC2" s="384"/>
      <c r="AD2" s="384"/>
      <c r="AE2" s="384"/>
      <c r="AF2" s="384"/>
      <c r="AG2" s="384"/>
      <c r="AH2" s="384"/>
      <c r="AI2" s="384"/>
    </row>
    <row r="3" spans="1:35" ht="13.5" thickBot="1" x14ac:dyDescent="0.25">
      <c r="A3" s="127"/>
      <c r="B3" s="126"/>
      <c r="C3" s="124" t="s">
        <v>78</v>
      </c>
      <c r="D3" s="194" t="s">
        <v>78</v>
      </c>
      <c r="E3" s="194" t="s">
        <v>62</v>
      </c>
      <c r="F3" s="194" t="s">
        <v>62</v>
      </c>
      <c r="G3" s="194" t="s">
        <v>62</v>
      </c>
      <c r="H3" s="194" t="s">
        <v>61</v>
      </c>
      <c r="I3" s="194" t="s">
        <v>61</v>
      </c>
      <c r="J3" s="194" t="s">
        <v>61</v>
      </c>
      <c r="K3" s="387" t="s">
        <v>58</v>
      </c>
      <c r="L3" s="387" t="s">
        <v>40</v>
      </c>
      <c r="M3" s="388" t="s">
        <v>40</v>
      </c>
      <c r="N3" s="319" t="s">
        <v>59</v>
      </c>
      <c r="O3" s="389" t="s">
        <v>60</v>
      </c>
      <c r="P3" s="384"/>
      <c r="Q3" s="384"/>
      <c r="R3" s="384"/>
      <c r="S3" s="384"/>
      <c r="T3" s="384"/>
      <c r="U3" s="384"/>
      <c r="V3" s="384"/>
      <c r="W3" s="384"/>
      <c r="X3" s="384"/>
      <c r="Y3" s="384"/>
      <c r="Z3" s="384"/>
      <c r="AA3" s="384"/>
      <c r="AB3" s="384"/>
      <c r="AC3" s="384"/>
      <c r="AD3" s="384"/>
      <c r="AE3" s="384"/>
      <c r="AF3" s="384"/>
      <c r="AG3" s="384"/>
      <c r="AH3" s="384"/>
      <c r="AI3" s="384"/>
    </row>
    <row r="4" spans="1:35" s="116" customFormat="1" ht="24.95" customHeight="1" x14ac:dyDescent="0.2">
      <c r="A4" s="139">
        <v>1</v>
      </c>
      <c r="B4" s="135"/>
      <c r="C4" s="181" t="str">
        <f ca="1">I1KA!C4</f>
        <v/>
      </c>
      <c r="D4" s="178" t="str">
        <f ca="1">I2KA!C4</f>
        <v/>
      </c>
      <c r="E4" s="132" t="str">
        <f ca="1">I1Ext!C4</f>
        <v/>
      </c>
      <c r="F4" s="121" t="str">
        <f ca="1">I2Ext!C4</f>
        <v/>
      </c>
      <c r="G4" s="121" t="str">
        <f ca="1">I3Ext!C4</f>
        <v/>
      </c>
      <c r="H4" s="184"/>
      <c r="I4" s="185"/>
      <c r="J4" s="186"/>
      <c r="K4" s="195" t="str">
        <f ca="1">IF(COUNT(C4:J4)&gt;0,SUMPRODUCT((C4:J4&lt;&gt;"")*1,C4:J4,$C$39:$J$39)/SUMPRODUCT((C4:J4&lt;&gt;"")*1,$C$39:$J$39),"")</f>
        <v/>
      </c>
      <c r="L4" s="196" t="str">
        <f ca="1">I1SA!C4</f>
        <v/>
      </c>
      <c r="M4" s="197" t="str">
        <f ca="1">I2SA!C4</f>
        <v/>
      </c>
      <c r="N4" s="122" t="str">
        <f ca="1">IF(COUNT(K4:M4)&gt;0,AVERAGEIF(K4:M4,"&lt;&gt;"""),"")</f>
        <v/>
      </c>
      <c r="O4" s="150" t="str">
        <f ca="1">IF(N4&lt;&gt;"",IF(N4&lt;1,0,ROUND(N4,0)),"")</f>
        <v/>
      </c>
      <c r="P4" s="385"/>
      <c r="Q4" s="385"/>
      <c r="R4" s="385"/>
      <c r="S4" s="385"/>
      <c r="T4" s="385"/>
      <c r="U4" s="385"/>
      <c r="V4" s="385"/>
      <c r="W4" s="385"/>
      <c r="X4" s="385"/>
      <c r="Y4" s="385"/>
      <c r="Z4" s="385"/>
      <c r="AA4" s="385"/>
      <c r="AB4" s="385"/>
      <c r="AC4" s="385"/>
      <c r="AD4" s="385"/>
      <c r="AE4" s="385"/>
      <c r="AF4" s="385"/>
      <c r="AG4" s="385"/>
      <c r="AH4" s="385"/>
      <c r="AI4" s="385"/>
    </row>
    <row r="5" spans="1:35" s="116" customFormat="1" ht="24.95" customHeight="1" x14ac:dyDescent="0.2">
      <c r="A5" s="140">
        <v>2</v>
      </c>
      <c r="B5" s="117"/>
      <c r="C5" s="182" t="str">
        <f ca="1">I1KA!C5</f>
        <v/>
      </c>
      <c r="D5" s="179" t="str">
        <f ca="1">I2KA!C5</f>
        <v/>
      </c>
      <c r="E5" s="132" t="str">
        <f ca="1">I1Ext!C5</f>
        <v/>
      </c>
      <c r="F5" s="121" t="str">
        <f ca="1">I2Ext!C5</f>
        <v/>
      </c>
      <c r="G5" s="121" t="str">
        <f ca="1">I3Ext!C5</f>
        <v/>
      </c>
      <c r="H5" s="184"/>
      <c r="I5" s="184"/>
      <c r="J5" s="186"/>
      <c r="K5" s="195" t="str">
        <f t="shared" ref="K5:K38" ca="1" si="0">IF(COUNT(C5:J5)&gt;0,SUMPRODUCT((C5:J5&lt;&gt;"")*1,C5:J5,$C$39:$J$39)/SUMPRODUCT((C5:J5&lt;&gt;"")*1,$C$39:$J$39),"")</f>
        <v/>
      </c>
      <c r="L5" s="198" t="str">
        <f ca="1">I1SA!C5</f>
        <v/>
      </c>
      <c r="M5" s="197" t="str">
        <f ca="1">I2SA!C5</f>
        <v/>
      </c>
      <c r="N5" s="122" t="str">
        <f t="shared" ref="N5:N38" ca="1" si="1">IF(COUNT(K5:M5)&gt;0,AVERAGEIF(K5:M5,"&lt;&gt;"""),"")</f>
        <v/>
      </c>
      <c r="O5" s="151" t="str">
        <f t="shared" ref="O5:O38" ca="1" si="2">IF(N5&lt;&gt;"",IF(N5&lt;1,0,ROUND(N5,0)),"")</f>
        <v/>
      </c>
      <c r="P5" s="385"/>
      <c r="Q5" s="385"/>
      <c r="R5" s="385"/>
      <c r="S5" s="385"/>
      <c r="T5" s="385"/>
      <c r="U5" s="385"/>
      <c r="V5" s="385"/>
      <c r="W5" s="385"/>
      <c r="X5" s="385"/>
      <c r="Y5" s="385"/>
      <c r="Z5" s="385"/>
      <c r="AA5" s="385"/>
      <c r="AB5" s="385"/>
      <c r="AC5" s="385"/>
      <c r="AD5" s="385"/>
      <c r="AE5" s="385"/>
      <c r="AF5" s="385"/>
      <c r="AG5" s="385"/>
      <c r="AH5" s="385"/>
      <c r="AI5" s="385"/>
    </row>
    <row r="6" spans="1:35" s="116" customFormat="1" ht="24.95" customHeight="1" x14ac:dyDescent="0.2">
      <c r="A6" s="140">
        <v>3</v>
      </c>
      <c r="B6" s="117"/>
      <c r="C6" s="182" t="str">
        <f ca="1">I1KA!C6</f>
        <v/>
      </c>
      <c r="D6" s="179" t="str">
        <f ca="1">I2KA!C6</f>
        <v/>
      </c>
      <c r="E6" s="132" t="str">
        <f ca="1">I1Ext!C6</f>
        <v/>
      </c>
      <c r="F6" s="121" t="str">
        <f ca="1">I2Ext!C6</f>
        <v/>
      </c>
      <c r="G6" s="121" t="str">
        <f ca="1">I3Ext!C6</f>
        <v/>
      </c>
      <c r="H6" s="185"/>
      <c r="I6" s="185"/>
      <c r="J6" s="186"/>
      <c r="K6" s="195" t="str">
        <f t="shared" ca="1" si="0"/>
        <v/>
      </c>
      <c r="L6" s="198" t="str">
        <f ca="1">I1SA!C6</f>
        <v/>
      </c>
      <c r="M6" s="197" t="str">
        <f ca="1">I2SA!C6</f>
        <v/>
      </c>
      <c r="N6" s="122" t="str">
        <f t="shared" ca="1" si="1"/>
        <v/>
      </c>
      <c r="O6" s="151" t="str">
        <f t="shared" ca="1" si="2"/>
        <v/>
      </c>
      <c r="P6" s="385"/>
      <c r="Q6" s="385"/>
      <c r="R6" s="385"/>
      <c r="S6" s="385"/>
      <c r="T6" s="385"/>
      <c r="U6" s="385"/>
      <c r="V6" s="385"/>
      <c r="W6" s="385"/>
      <c r="X6" s="385"/>
      <c r="Y6" s="385"/>
      <c r="Z6" s="385"/>
      <c r="AA6" s="385"/>
      <c r="AB6" s="385"/>
      <c r="AC6" s="385"/>
      <c r="AD6" s="385"/>
      <c r="AE6" s="385"/>
      <c r="AF6" s="385"/>
      <c r="AG6" s="385"/>
      <c r="AH6" s="385"/>
      <c r="AI6" s="385"/>
    </row>
    <row r="7" spans="1:35" s="116" customFormat="1" ht="24.95" customHeight="1" x14ac:dyDescent="0.2">
      <c r="A7" s="140">
        <v>4</v>
      </c>
      <c r="B7" s="117"/>
      <c r="C7" s="182" t="str">
        <f ca="1">I1KA!C7</f>
        <v/>
      </c>
      <c r="D7" s="179" t="str">
        <f ca="1">I2KA!C7</f>
        <v/>
      </c>
      <c r="E7" s="132" t="str">
        <f ca="1">I1Ext!C7</f>
        <v/>
      </c>
      <c r="F7" s="121" t="str">
        <f ca="1">I2Ext!C7</f>
        <v/>
      </c>
      <c r="G7" s="121" t="str">
        <f ca="1">I3Ext!C7</f>
        <v/>
      </c>
      <c r="H7" s="185"/>
      <c r="I7" s="185"/>
      <c r="J7" s="186"/>
      <c r="K7" s="195" t="str">
        <f t="shared" ca="1" si="0"/>
        <v/>
      </c>
      <c r="L7" s="198" t="str">
        <f ca="1">I1SA!C7</f>
        <v/>
      </c>
      <c r="M7" s="197" t="str">
        <f ca="1">I2SA!C7</f>
        <v/>
      </c>
      <c r="N7" s="122" t="str">
        <f t="shared" ca="1" si="1"/>
        <v/>
      </c>
      <c r="O7" s="151" t="str">
        <f t="shared" ca="1" si="2"/>
        <v/>
      </c>
      <c r="P7" s="385"/>
      <c r="Q7" s="385"/>
      <c r="R7" s="385"/>
      <c r="S7" s="385"/>
      <c r="T7" s="385"/>
      <c r="U7" s="385"/>
      <c r="V7" s="385"/>
      <c r="W7" s="385"/>
      <c r="X7" s="385"/>
      <c r="Y7" s="385"/>
      <c r="Z7" s="385"/>
      <c r="AA7" s="385"/>
      <c r="AB7" s="385"/>
      <c r="AC7" s="385"/>
      <c r="AD7" s="385"/>
      <c r="AE7" s="385"/>
      <c r="AF7" s="385"/>
      <c r="AG7" s="385"/>
      <c r="AH7" s="385"/>
      <c r="AI7" s="385"/>
    </row>
    <row r="8" spans="1:35" s="116" customFormat="1" ht="24.95" customHeight="1" x14ac:dyDescent="0.2">
      <c r="A8" s="140">
        <v>5</v>
      </c>
      <c r="B8" s="117"/>
      <c r="C8" s="182" t="str">
        <f ca="1">I1KA!C8</f>
        <v/>
      </c>
      <c r="D8" s="179" t="str">
        <f ca="1">I2KA!C8</f>
        <v/>
      </c>
      <c r="E8" s="132" t="str">
        <f ca="1">I1Ext!C8</f>
        <v/>
      </c>
      <c r="F8" s="121" t="str">
        <f ca="1">I2Ext!C8</f>
        <v/>
      </c>
      <c r="G8" s="121" t="str">
        <f ca="1">I3Ext!C8</f>
        <v/>
      </c>
      <c r="H8" s="185"/>
      <c r="I8" s="185"/>
      <c r="J8" s="186"/>
      <c r="K8" s="195" t="str">
        <f t="shared" ca="1" si="0"/>
        <v/>
      </c>
      <c r="L8" s="198" t="str">
        <f ca="1">I1SA!C8</f>
        <v/>
      </c>
      <c r="M8" s="197" t="str">
        <f ca="1">I2SA!C8</f>
        <v/>
      </c>
      <c r="N8" s="122" t="str">
        <f t="shared" ca="1" si="1"/>
        <v/>
      </c>
      <c r="O8" s="151" t="str">
        <f t="shared" ca="1" si="2"/>
        <v/>
      </c>
      <c r="P8" s="385"/>
      <c r="Q8" s="385"/>
      <c r="R8" s="385"/>
      <c r="S8" s="385"/>
      <c r="T8" s="385"/>
      <c r="U8" s="385"/>
      <c r="V8" s="385"/>
      <c r="W8" s="385"/>
      <c r="X8" s="385"/>
      <c r="Y8" s="385"/>
      <c r="Z8" s="385"/>
      <c r="AA8" s="385"/>
      <c r="AB8" s="385"/>
      <c r="AC8" s="385"/>
      <c r="AD8" s="385"/>
      <c r="AE8" s="385"/>
      <c r="AF8" s="385"/>
      <c r="AG8" s="385"/>
      <c r="AH8" s="385"/>
      <c r="AI8" s="385"/>
    </row>
    <row r="9" spans="1:35" s="116" customFormat="1" ht="24.95" customHeight="1" x14ac:dyDescent="0.2">
      <c r="A9" s="140">
        <v>6</v>
      </c>
      <c r="B9" s="117"/>
      <c r="C9" s="182" t="str">
        <f ca="1">I1KA!C9</f>
        <v/>
      </c>
      <c r="D9" s="179" t="str">
        <f ca="1">I2KA!C9</f>
        <v/>
      </c>
      <c r="E9" s="132" t="str">
        <f ca="1">I1Ext!C9</f>
        <v/>
      </c>
      <c r="F9" s="121" t="str">
        <f ca="1">I2Ext!C9</f>
        <v/>
      </c>
      <c r="G9" s="121" t="str">
        <f ca="1">I3Ext!C9</f>
        <v/>
      </c>
      <c r="H9" s="185"/>
      <c r="I9" s="185"/>
      <c r="J9" s="186"/>
      <c r="K9" s="195" t="str">
        <f t="shared" ca="1" si="0"/>
        <v/>
      </c>
      <c r="L9" s="198" t="str">
        <f ca="1">I1SA!C9</f>
        <v/>
      </c>
      <c r="M9" s="197" t="str">
        <f ca="1">I2SA!C9</f>
        <v/>
      </c>
      <c r="N9" s="122" t="str">
        <f t="shared" ca="1" si="1"/>
        <v/>
      </c>
      <c r="O9" s="151" t="str">
        <f t="shared" ca="1" si="2"/>
        <v/>
      </c>
      <c r="P9" s="385"/>
      <c r="Q9" s="385"/>
      <c r="R9" s="385"/>
      <c r="S9" s="385"/>
      <c r="T9" s="385"/>
      <c r="U9" s="385"/>
      <c r="V9" s="385"/>
      <c r="W9" s="385"/>
      <c r="X9" s="385"/>
      <c r="Y9" s="385"/>
      <c r="Z9" s="385"/>
      <c r="AA9" s="385"/>
      <c r="AB9" s="385"/>
      <c r="AC9" s="385"/>
      <c r="AD9" s="385"/>
      <c r="AE9" s="385"/>
      <c r="AF9" s="385"/>
      <c r="AG9" s="385"/>
      <c r="AH9" s="385"/>
      <c r="AI9" s="385"/>
    </row>
    <row r="10" spans="1:35" s="116" customFormat="1" ht="24.95" customHeight="1" x14ac:dyDescent="0.2">
      <c r="A10" s="140">
        <v>7</v>
      </c>
      <c r="B10" s="117"/>
      <c r="C10" s="182" t="str">
        <f ca="1">I1KA!C10</f>
        <v/>
      </c>
      <c r="D10" s="179" t="str">
        <f ca="1">I2KA!C10</f>
        <v/>
      </c>
      <c r="E10" s="132" t="str">
        <f ca="1">I1Ext!C10</f>
        <v/>
      </c>
      <c r="F10" s="121" t="str">
        <f ca="1">I2Ext!C10</f>
        <v/>
      </c>
      <c r="G10" s="121" t="str">
        <f ca="1">I3Ext!C10</f>
        <v/>
      </c>
      <c r="H10" s="185"/>
      <c r="I10" s="185"/>
      <c r="J10" s="186"/>
      <c r="K10" s="195" t="str">
        <f t="shared" ca="1" si="0"/>
        <v/>
      </c>
      <c r="L10" s="198" t="str">
        <f ca="1">I1SA!C10</f>
        <v/>
      </c>
      <c r="M10" s="197" t="str">
        <f ca="1">I2SA!C10</f>
        <v/>
      </c>
      <c r="N10" s="122" t="str">
        <f t="shared" ca="1" si="1"/>
        <v/>
      </c>
      <c r="O10" s="151" t="str">
        <f t="shared" ca="1" si="2"/>
        <v/>
      </c>
      <c r="P10" s="385"/>
      <c r="Q10" s="385"/>
      <c r="R10" s="385"/>
      <c r="S10" s="385"/>
      <c r="T10" s="385"/>
      <c r="U10" s="385"/>
      <c r="V10" s="385"/>
      <c r="W10" s="385"/>
      <c r="X10" s="385"/>
      <c r="Y10" s="385"/>
      <c r="Z10" s="385"/>
      <c r="AA10" s="385"/>
      <c r="AB10" s="385"/>
      <c r="AC10" s="385"/>
      <c r="AD10" s="385"/>
      <c r="AE10" s="385"/>
      <c r="AF10" s="385"/>
      <c r="AG10" s="385"/>
      <c r="AH10" s="385"/>
      <c r="AI10" s="385"/>
    </row>
    <row r="11" spans="1:35" s="116" customFormat="1" ht="24.95" customHeight="1" x14ac:dyDescent="0.2">
      <c r="A11" s="140">
        <v>8</v>
      </c>
      <c r="B11" s="117"/>
      <c r="C11" s="182" t="str">
        <f ca="1">I1KA!C11</f>
        <v/>
      </c>
      <c r="D11" s="179" t="str">
        <f ca="1">I2KA!C11</f>
        <v/>
      </c>
      <c r="E11" s="132" t="str">
        <f ca="1">I1Ext!C11</f>
        <v/>
      </c>
      <c r="F11" s="121" t="str">
        <f ca="1">I2Ext!C11</f>
        <v/>
      </c>
      <c r="G11" s="121" t="str">
        <f ca="1">I3Ext!C11</f>
        <v/>
      </c>
      <c r="H11" s="185"/>
      <c r="I11" s="185"/>
      <c r="J11" s="186"/>
      <c r="K11" s="195" t="str">
        <f t="shared" ca="1" si="0"/>
        <v/>
      </c>
      <c r="L11" s="198" t="str">
        <f ca="1">I1SA!C11</f>
        <v/>
      </c>
      <c r="M11" s="197" t="str">
        <f ca="1">I2SA!C11</f>
        <v/>
      </c>
      <c r="N11" s="122" t="str">
        <f t="shared" ca="1" si="1"/>
        <v/>
      </c>
      <c r="O11" s="151" t="str">
        <f t="shared" ca="1" si="2"/>
        <v/>
      </c>
      <c r="P11" s="385"/>
      <c r="Q11" s="385"/>
      <c r="R11" s="385"/>
      <c r="S11" s="385"/>
      <c r="T11" s="385"/>
      <c r="U11" s="385"/>
      <c r="V11" s="385"/>
      <c r="W11" s="385"/>
      <c r="X11" s="385"/>
      <c r="Y11" s="385"/>
      <c r="Z11" s="385"/>
      <c r="AA11" s="385"/>
      <c r="AB11" s="385"/>
      <c r="AC11" s="385"/>
      <c r="AD11" s="385"/>
      <c r="AE11" s="385"/>
      <c r="AF11" s="385"/>
      <c r="AG11" s="385"/>
      <c r="AH11" s="385"/>
      <c r="AI11" s="385"/>
    </row>
    <row r="12" spans="1:35" s="116" customFormat="1" ht="24.95" customHeight="1" x14ac:dyDescent="0.2">
      <c r="A12" s="140">
        <v>9</v>
      </c>
      <c r="B12" s="117"/>
      <c r="C12" s="182" t="str">
        <f ca="1">I1KA!C12</f>
        <v/>
      </c>
      <c r="D12" s="179" t="str">
        <f ca="1">I2KA!C12</f>
        <v/>
      </c>
      <c r="E12" s="132" t="str">
        <f ca="1">I1Ext!C12</f>
        <v/>
      </c>
      <c r="F12" s="121" t="str">
        <f ca="1">I2Ext!C12</f>
        <v/>
      </c>
      <c r="G12" s="121" t="str">
        <f ca="1">I3Ext!C12</f>
        <v/>
      </c>
      <c r="H12" s="185"/>
      <c r="I12" s="185"/>
      <c r="J12" s="186"/>
      <c r="K12" s="195" t="str">
        <f t="shared" ca="1" si="0"/>
        <v/>
      </c>
      <c r="L12" s="198" t="str">
        <f ca="1">I1SA!C12</f>
        <v/>
      </c>
      <c r="M12" s="197" t="str">
        <f ca="1">I2SA!C12</f>
        <v/>
      </c>
      <c r="N12" s="122" t="str">
        <f t="shared" ca="1" si="1"/>
        <v/>
      </c>
      <c r="O12" s="151" t="str">
        <f t="shared" ca="1" si="2"/>
        <v/>
      </c>
      <c r="P12" s="385"/>
      <c r="Q12" s="385"/>
      <c r="R12" s="385"/>
      <c r="S12" s="385"/>
      <c r="T12" s="385"/>
      <c r="U12" s="385"/>
      <c r="V12" s="385"/>
      <c r="W12" s="385"/>
      <c r="X12" s="385"/>
      <c r="Y12" s="385"/>
      <c r="Z12" s="385"/>
      <c r="AA12" s="385"/>
      <c r="AB12" s="385"/>
      <c r="AC12" s="385"/>
      <c r="AD12" s="385"/>
      <c r="AE12" s="385"/>
      <c r="AF12" s="385"/>
      <c r="AG12" s="385"/>
      <c r="AH12" s="385"/>
      <c r="AI12" s="385"/>
    </row>
    <row r="13" spans="1:35" s="116" customFormat="1" ht="24.95" customHeight="1" x14ac:dyDescent="0.2">
      <c r="A13" s="140">
        <v>10</v>
      </c>
      <c r="B13" s="117"/>
      <c r="C13" s="182" t="str">
        <f ca="1">I1KA!C13</f>
        <v/>
      </c>
      <c r="D13" s="179" t="str">
        <f ca="1">I2KA!C13</f>
        <v/>
      </c>
      <c r="E13" s="132" t="str">
        <f ca="1">I1Ext!C13</f>
        <v/>
      </c>
      <c r="F13" s="121" t="str">
        <f ca="1">I2Ext!C13</f>
        <v/>
      </c>
      <c r="G13" s="121" t="str">
        <f ca="1">I3Ext!C13</f>
        <v/>
      </c>
      <c r="H13" s="185"/>
      <c r="I13" s="185"/>
      <c r="J13" s="186"/>
      <c r="K13" s="195" t="str">
        <f t="shared" ca="1" si="0"/>
        <v/>
      </c>
      <c r="L13" s="198" t="str">
        <f ca="1">I1SA!C13</f>
        <v/>
      </c>
      <c r="M13" s="197" t="str">
        <f ca="1">I2SA!C13</f>
        <v/>
      </c>
      <c r="N13" s="122" t="str">
        <f t="shared" ca="1" si="1"/>
        <v/>
      </c>
      <c r="O13" s="151" t="str">
        <f t="shared" ca="1" si="2"/>
        <v/>
      </c>
      <c r="P13" s="385"/>
      <c r="Q13" s="385"/>
      <c r="R13" s="385"/>
      <c r="S13" s="385"/>
      <c r="T13" s="385"/>
      <c r="U13" s="385"/>
      <c r="V13" s="385"/>
      <c r="W13" s="385"/>
      <c r="X13" s="385"/>
      <c r="Y13" s="385"/>
      <c r="Z13" s="385"/>
      <c r="AA13" s="385"/>
      <c r="AB13" s="385"/>
      <c r="AC13" s="385"/>
      <c r="AD13" s="385"/>
      <c r="AE13" s="385"/>
      <c r="AF13" s="385"/>
      <c r="AG13" s="385"/>
      <c r="AH13" s="385"/>
      <c r="AI13" s="385"/>
    </row>
    <row r="14" spans="1:35" s="116" customFormat="1" ht="24.95" customHeight="1" x14ac:dyDescent="0.2">
      <c r="A14" s="140">
        <v>11</v>
      </c>
      <c r="B14" s="117"/>
      <c r="C14" s="182" t="str">
        <f ca="1">I1KA!C14</f>
        <v/>
      </c>
      <c r="D14" s="179" t="str">
        <f ca="1">I2KA!C14</f>
        <v/>
      </c>
      <c r="E14" s="132" t="str">
        <f ca="1">I1Ext!C14</f>
        <v/>
      </c>
      <c r="F14" s="121" t="str">
        <f ca="1">I2Ext!C14</f>
        <v/>
      </c>
      <c r="G14" s="121" t="str">
        <f ca="1">I3Ext!C14</f>
        <v/>
      </c>
      <c r="H14" s="185"/>
      <c r="I14" s="185"/>
      <c r="J14" s="186"/>
      <c r="K14" s="195" t="str">
        <f t="shared" ca="1" si="0"/>
        <v/>
      </c>
      <c r="L14" s="198" t="str">
        <f ca="1">I1SA!C14</f>
        <v/>
      </c>
      <c r="M14" s="197" t="str">
        <f ca="1">I2SA!C14</f>
        <v/>
      </c>
      <c r="N14" s="122" t="str">
        <f t="shared" ca="1" si="1"/>
        <v/>
      </c>
      <c r="O14" s="151" t="str">
        <f t="shared" ca="1" si="2"/>
        <v/>
      </c>
      <c r="P14" s="385"/>
      <c r="Q14" s="385"/>
      <c r="R14" s="385"/>
      <c r="S14" s="385"/>
      <c r="T14" s="385"/>
      <c r="U14" s="385"/>
      <c r="V14" s="385"/>
      <c r="W14" s="385"/>
      <c r="X14" s="385"/>
      <c r="Y14" s="385"/>
      <c r="Z14" s="385"/>
      <c r="AA14" s="385"/>
      <c r="AB14" s="385"/>
      <c r="AC14" s="385"/>
      <c r="AD14" s="385"/>
      <c r="AE14" s="385"/>
      <c r="AF14" s="385"/>
      <c r="AG14" s="385"/>
      <c r="AH14" s="385"/>
      <c r="AI14" s="385"/>
    </row>
    <row r="15" spans="1:35" s="116" customFormat="1" ht="24.95" customHeight="1" x14ac:dyDescent="0.2">
      <c r="A15" s="140">
        <v>12</v>
      </c>
      <c r="B15" s="117"/>
      <c r="C15" s="182" t="str">
        <f ca="1">I1KA!C15</f>
        <v/>
      </c>
      <c r="D15" s="179" t="str">
        <f ca="1">I2KA!C15</f>
        <v/>
      </c>
      <c r="E15" s="132" t="str">
        <f ca="1">I1Ext!C15</f>
        <v/>
      </c>
      <c r="F15" s="121" t="str">
        <f ca="1">I2Ext!C15</f>
        <v/>
      </c>
      <c r="G15" s="121" t="str">
        <f ca="1">I3Ext!C15</f>
        <v/>
      </c>
      <c r="H15" s="185"/>
      <c r="I15" s="185"/>
      <c r="J15" s="186"/>
      <c r="K15" s="195" t="str">
        <f t="shared" ca="1" si="0"/>
        <v/>
      </c>
      <c r="L15" s="198" t="str">
        <f ca="1">I1SA!C15</f>
        <v/>
      </c>
      <c r="M15" s="197" t="str">
        <f ca="1">I2SA!C15</f>
        <v/>
      </c>
      <c r="N15" s="122" t="str">
        <f t="shared" ca="1" si="1"/>
        <v/>
      </c>
      <c r="O15" s="151" t="str">
        <f t="shared" ca="1" si="2"/>
        <v/>
      </c>
      <c r="P15" s="385"/>
      <c r="Q15" s="385"/>
      <c r="R15" s="385"/>
      <c r="S15" s="385"/>
      <c r="T15" s="385"/>
      <c r="U15" s="385"/>
      <c r="V15" s="385"/>
      <c r="W15" s="385"/>
      <c r="X15" s="385"/>
      <c r="Y15" s="385"/>
      <c r="Z15" s="385"/>
      <c r="AA15" s="385"/>
      <c r="AB15" s="385"/>
      <c r="AC15" s="385"/>
      <c r="AD15" s="385"/>
      <c r="AE15" s="385"/>
      <c r="AF15" s="385"/>
      <c r="AG15" s="385"/>
      <c r="AH15" s="385"/>
      <c r="AI15" s="385"/>
    </row>
    <row r="16" spans="1:35" s="116" customFormat="1" ht="24.95" customHeight="1" x14ac:dyDescent="0.2">
      <c r="A16" s="140">
        <v>13</v>
      </c>
      <c r="B16" s="117"/>
      <c r="C16" s="182" t="str">
        <f ca="1">I1KA!C16</f>
        <v/>
      </c>
      <c r="D16" s="179" t="str">
        <f ca="1">I2KA!C16</f>
        <v/>
      </c>
      <c r="E16" s="132" t="str">
        <f ca="1">I1Ext!C16</f>
        <v/>
      </c>
      <c r="F16" s="121" t="str">
        <f ca="1">I2Ext!C16</f>
        <v/>
      </c>
      <c r="G16" s="121" t="str">
        <f ca="1">I3Ext!C16</f>
        <v/>
      </c>
      <c r="H16" s="185"/>
      <c r="I16" s="185"/>
      <c r="J16" s="186"/>
      <c r="K16" s="195" t="str">
        <f t="shared" ca="1" si="0"/>
        <v/>
      </c>
      <c r="L16" s="198" t="str">
        <f ca="1">I1SA!C16</f>
        <v/>
      </c>
      <c r="M16" s="197" t="str">
        <f ca="1">I2SA!C16</f>
        <v/>
      </c>
      <c r="N16" s="122" t="str">
        <f t="shared" ca="1" si="1"/>
        <v/>
      </c>
      <c r="O16" s="151" t="str">
        <f t="shared" ca="1" si="2"/>
        <v/>
      </c>
      <c r="P16" s="385"/>
      <c r="Q16" s="385"/>
      <c r="R16" s="385"/>
      <c r="S16" s="385"/>
      <c r="T16" s="385"/>
      <c r="U16" s="385"/>
      <c r="V16" s="385"/>
      <c r="W16" s="385"/>
      <c r="X16" s="385"/>
      <c r="Y16" s="385"/>
      <c r="Z16" s="385"/>
      <c r="AA16" s="385"/>
      <c r="AB16" s="385"/>
      <c r="AC16" s="385"/>
      <c r="AD16" s="385"/>
      <c r="AE16" s="385"/>
      <c r="AF16" s="385"/>
      <c r="AG16" s="385"/>
      <c r="AH16" s="385"/>
      <c r="AI16" s="385"/>
    </row>
    <row r="17" spans="1:35" s="116" customFormat="1" ht="24.95" customHeight="1" x14ac:dyDescent="0.2">
      <c r="A17" s="140">
        <v>14</v>
      </c>
      <c r="B17" s="117"/>
      <c r="C17" s="182" t="str">
        <f ca="1">I1KA!C17</f>
        <v/>
      </c>
      <c r="D17" s="179" t="str">
        <f ca="1">I2KA!C17</f>
        <v/>
      </c>
      <c r="E17" s="132" t="str">
        <f ca="1">I1Ext!C17</f>
        <v/>
      </c>
      <c r="F17" s="121" t="str">
        <f ca="1">I2Ext!C17</f>
        <v/>
      </c>
      <c r="G17" s="121" t="str">
        <f ca="1">I3Ext!C17</f>
        <v/>
      </c>
      <c r="H17" s="185"/>
      <c r="I17" s="185"/>
      <c r="J17" s="186"/>
      <c r="K17" s="195" t="str">
        <f t="shared" ca="1" si="0"/>
        <v/>
      </c>
      <c r="L17" s="198" t="str">
        <f ca="1">I1SA!C17</f>
        <v/>
      </c>
      <c r="M17" s="197" t="str">
        <f ca="1">I2SA!C17</f>
        <v/>
      </c>
      <c r="N17" s="122" t="str">
        <f t="shared" ca="1" si="1"/>
        <v/>
      </c>
      <c r="O17" s="151" t="str">
        <f t="shared" ca="1" si="2"/>
        <v/>
      </c>
      <c r="P17" s="385"/>
      <c r="Q17" s="385"/>
      <c r="R17" s="385"/>
      <c r="S17" s="385"/>
      <c r="T17" s="385"/>
      <c r="U17" s="385"/>
      <c r="V17" s="385"/>
      <c r="W17" s="385"/>
      <c r="X17" s="385"/>
      <c r="Y17" s="385"/>
      <c r="Z17" s="385"/>
      <c r="AA17" s="385"/>
      <c r="AB17" s="385"/>
      <c r="AC17" s="385"/>
      <c r="AD17" s="385"/>
      <c r="AE17" s="385"/>
      <c r="AF17" s="385"/>
      <c r="AG17" s="385"/>
      <c r="AH17" s="385"/>
      <c r="AI17" s="385"/>
    </row>
    <row r="18" spans="1:35" s="116" customFormat="1" ht="24.95" customHeight="1" x14ac:dyDescent="0.2">
      <c r="A18" s="140">
        <v>15</v>
      </c>
      <c r="B18" s="117"/>
      <c r="C18" s="182" t="str">
        <f ca="1">I1KA!C18</f>
        <v/>
      </c>
      <c r="D18" s="179" t="str">
        <f ca="1">I2KA!C18</f>
        <v/>
      </c>
      <c r="E18" s="132" t="str">
        <f ca="1">I1Ext!C18</f>
        <v/>
      </c>
      <c r="F18" s="121" t="str">
        <f ca="1">I2Ext!C18</f>
        <v/>
      </c>
      <c r="G18" s="121" t="str">
        <f ca="1">I3Ext!C18</f>
        <v/>
      </c>
      <c r="H18" s="185"/>
      <c r="I18" s="185"/>
      <c r="J18" s="186"/>
      <c r="K18" s="195" t="str">
        <f t="shared" ca="1" si="0"/>
        <v/>
      </c>
      <c r="L18" s="198" t="str">
        <f ca="1">I1SA!C18</f>
        <v/>
      </c>
      <c r="M18" s="197" t="str">
        <f ca="1">I2SA!C18</f>
        <v/>
      </c>
      <c r="N18" s="122" t="str">
        <f t="shared" ca="1" si="1"/>
        <v/>
      </c>
      <c r="O18" s="151" t="str">
        <f t="shared" ca="1" si="2"/>
        <v/>
      </c>
      <c r="P18" s="385"/>
      <c r="Q18" s="385"/>
      <c r="R18" s="385"/>
      <c r="S18" s="385"/>
      <c r="T18" s="385"/>
      <c r="U18" s="385"/>
      <c r="V18" s="385"/>
      <c r="W18" s="385"/>
      <c r="X18" s="385"/>
      <c r="Y18" s="385"/>
      <c r="Z18" s="385"/>
      <c r="AA18" s="385"/>
      <c r="AB18" s="385"/>
      <c r="AC18" s="385"/>
      <c r="AD18" s="385"/>
      <c r="AE18" s="385"/>
      <c r="AF18" s="385"/>
      <c r="AG18" s="385"/>
      <c r="AH18" s="385"/>
      <c r="AI18" s="385"/>
    </row>
    <row r="19" spans="1:35" s="116" customFormat="1" ht="24.95" customHeight="1" x14ac:dyDescent="0.2">
      <c r="A19" s="140">
        <v>16</v>
      </c>
      <c r="B19" s="117"/>
      <c r="C19" s="182" t="str">
        <f ca="1">I1KA!C19</f>
        <v/>
      </c>
      <c r="D19" s="179" t="str">
        <f ca="1">I2KA!C19</f>
        <v/>
      </c>
      <c r="E19" s="132" t="str">
        <f ca="1">I1Ext!C19</f>
        <v/>
      </c>
      <c r="F19" s="121" t="str">
        <f ca="1">I2Ext!C19</f>
        <v/>
      </c>
      <c r="G19" s="121" t="str">
        <f ca="1">I3Ext!C19</f>
        <v/>
      </c>
      <c r="H19" s="185"/>
      <c r="I19" s="185"/>
      <c r="J19" s="186"/>
      <c r="K19" s="195" t="str">
        <f t="shared" ca="1" si="0"/>
        <v/>
      </c>
      <c r="L19" s="198" t="str">
        <f ca="1">I1SA!C19</f>
        <v/>
      </c>
      <c r="M19" s="197" t="str">
        <f ca="1">I2SA!C19</f>
        <v/>
      </c>
      <c r="N19" s="122" t="str">
        <f t="shared" ca="1" si="1"/>
        <v/>
      </c>
      <c r="O19" s="151" t="str">
        <f t="shared" ca="1" si="2"/>
        <v/>
      </c>
      <c r="P19" s="385"/>
      <c r="Q19" s="385"/>
      <c r="R19" s="385"/>
      <c r="S19" s="385"/>
      <c r="T19" s="385"/>
      <c r="U19" s="385"/>
      <c r="V19" s="385"/>
      <c r="W19" s="385"/>
      <c r="X19" s="385"/>
      <c r="Y19" s="385"/>
      <c r="Z19" s="385"/>
      <c r="AA19" s="385"/>
      <c r="AB19" s="385"/>
      <c r="AC19" s="385"/>
      <c r="AD19" s="385"/>
      <c r="AE19" s="385"/>
      <c r="AF19" s="385"/>
      <c r="AG19" s="385"/>
      <c r="AH19" s="385"/>
      <c r="AI19" s="385"/>
    </row>
    <row r="20" spans="1:35" s="116" customFormat="1" ht="24.95" customHeight="1" x14ac:dyDescent="0.2">
      <c r="A20" s="140">
        <v>17</v>
      </c>
      <c r="B20" s="117"/>
      <c r="C20" s="182" t="str">
        <f ca="1">I1KA!C20</f>
        <v/>
      </c>
      <c r="D20" s="179" t="str">
        <f ca="1">I2KA!C20</f>
        <v/>
      </c>
      <c r="E20" s="132" t="str">
        <f ca="1">I1Ext!C20</f>
        <v/>
      </c>
      <c r="F20" s="121" t="str">
        <f ca="1">I2Ext!C20</f>
        <v/>
      </c>
      <c r="G20" s="121" t="str">
        <f ca="1">I3Ext!C20</f>
        <v/>
      </c>
      <c r="H20" s="185"/>
      <c r="I20" s="185"/>
      <c r="J20" s="186"/>
      <c r="K20" s="195" t="str">
        <f t="shared" ca="1" si="0"/>
        <v/>
      </c>
      <c r="L20" s="198" t="str">
        <f ca="1">I1SA!C20</f>
        <v/>
      </c>
      <c r="M20" s="197" t="str">
        <f ca="1">I2SA!C20</f>
        <v/>
      </c>
      <c r="N20" s="122" t="str">
        <f t="shared" ca="1" si="1"/>
        <v/>
      </c>
      <c r="O20" s="151" t="str">
        <f t="shared" ca="1" si="2"/>
        <v/>
      </c>
      <c r="P20" s="385"/>
      <c r="Q20" s="385"/>
      <c r="R20" s="385"/>
      <c r="S20" s="385"/>
      <c r="T20" s="385"/>
      <c r="U20" s="385"/>
      <c r="V20" s="385"/>
      <c r="W20" s="385"/>
      <c r="X20" s="385"/>
      <c r="Y20" s="385"/>
      <c r="Z20" s="385"/>
      <c r="AA20" s="385"/>
      <c r="AB20" s="385"/>
      <c r="AC20" s="385"/>
      <c r="AD20" s="385"/>
      <c r="AE20" s="385"/>
      <c r="AF20" s="385"/>
      <c r="AG20" s="385"/>
      <c r="AH20" s="385"/>
      <c r="AI20" s="385"/>
    </row>
    <row r="21" spans="1:35" s="116" customFormat="1" ht="24.95" customHeight="1" x14ac:dyDescent="0.2">
      <c r="A21" s="140">
        <v>18</v>
      </c>
      <c r="B21" s="117"/>
      <c r="C21" s="182" t="str">
        <f ca="1">I1KA!C21</f>
        <v/>
      </c>
      <c r="D21" s="179" t="str">
        <f ca="1">I2KA!C21</f>
        <v/>
      </c>
      <c r="E21" s="132" t="str">
        <f ca="1">I1Ext!C21</f>
        <v/>
      </c>
      <c r="F21" s="121" t="str">
        <f ca="1">I2Ext!C21</f>
        <v/>
      </c>
      <c r="G21" s="121" t="str">
        <f ca="1">I3Ext!C21</f>
        <v/>
      </c>
      <c r="H21" s="185"/>
      <c r="I21" s="185"/>
      <c r="J21" s="186"/>
      <c r="K21" s="195" t="str">
        <f t="shared" ca="1" si="0"/>
        <v/>
      </c>
      <c r="L21" s="198" t="str">
        <f ca="1">I1SA!C21</f>
        <v/>
      </c>
      <c r="M21" s="197" t="str">
        <f ca="1">I2SA!C21</f>
        <v/>
      </c>
      <c r="N21" s="122" t="str">
        <f t="shared" ca="1" si="1"/>
        <v/>
      </c>
      <c r="O21" s="151" t="str">
        <f t="shared" ca="1" si="2"/>
        <v/>
      </c>
      <c r="P21" s="385"/>
      <c r="Q21" s="385"/>
      <c r="R21" s="385"/>
      <c r="S21" s="385"/>
      <c r="T21" s="385"/>
      <c r="U21" s="385"/>
      <c r="V21" s="385"/>
      <c r="W21" s="385"/>
      <c r="X21" s="385"/>
      <c r="Y21" s="385"/>
      <c r="Z21" s="385"/>
      <c r="AA21" s="385"/>
      <c r="AB21" s="385"/>
      <c r="AC21" s="385"/>
      <c r="AD21" s="385"/>
      <c r="AE21" s="385"/>
      <c r="AF21" s="385"/>
      <c r="AG21" s="385"/>
      <c r="AH21" s="385"/>
      <c r="AI21" s="385"/>
    </row>
    <row r="22" spans="1:35" s="116" customFormat="1" ht="24.95" customHeight="1" x14ac:dyDescent="0.2">
      <c r="A22" s="140">
        <v>19</v>
      </c>
      <c r="B22" s="117"/>
      <c r="C22" s="182" t="str">
        <f ca="1">I1KA!C22</f>
        <v/>
      </c>
      <c r="D22" s="179" t="str">
        <f ca="1">I2KA!C22</f>
        <v/>
      </c>
      <c r="E22" s="132" t="str">
        <f ca="1">I1Ext!C22</f>
        <v/>
      </c>
      <c r="F22" s="121" t="str">
        <f ca="1">I2Ext!C22</f>
        <v/>
      </c>
      <c r="G22" s="121" t="str">
        <f ca="1">I3Ext!C22</f>
        <v/>
      </c>
      <c r="H22" s="185"/>
      <c r="I22" s="185"/>
      <c r="J22" s="186"/>
      <c r="K22" s="195" t="str">
        <f t="shared" ca="1" si="0"/>
        <v/>
      </c>
      <c r="L22" s="198" t="str">
        <f ca="1">I1SA!C22</f>
        <v/>
      </c>
      <c r="M22" s="197" t="str">
        <f ca="1">I2SA!C22</f>
        <v/>
      </c>
      <c r="N22" s="122" t="str">
        <f t="shared" ca="1" si="1"/>
        <v/>
      </c>
      <c r="O22" s="151" t="str">
        <f t="shared" ca="1" si="2"/>
        <v/>
      </c>
      <c r="P22" s="385"/>
      <c r="Q22" s="385"/>
      <c r="R22" s="385"/>
      <c r="S22" s="385"/>
      <c r="T22" s="385"/>
      <c r="U22" s="385"/>
      <c r="V22" s="385"/>
      <c r="W22" s="385"/>
      <c r="X22" s="385"/>
      <c r="Y22" s="385"/>
      <c r="Z22" s="385"/>
      <c r="AA22" s="385"/>
      <c r="AB22" s="385"/>
      <c r="AC22" s="385"/>
      <c r="AD22" s="385"/>
      <c r="AE22" s="385"/>
      <c r="AF22" s="385"/>
      <c r="AG22" s="385"/>
      <c r="AH22" s="385"/>
      <c r="AI22" s="385"/>
    </row>
    <row r="23" spans="1:35" s="116" customFormat="1" ht="24.95" customHeight="1" x14ac:dyDescent="0.2">
      <c r="A23" s="140">
        <v>20</v>
      </c>
      <c r="B23" s="117"/>
      <c r="C23" s="182" t="str">
        <f ca="1">I1KA!C23</f>
        <v/>
      </c>
      <c r="D23" s="179" t="str">
        <f ca="1">I2KA!C23</f>
        <v/>
      </c>
      <c r="E23" s="132" t="str">
        <f ca="1">I1Ext!C23</f>
        <v/>
      </c>
      <c r="F23" s="121" t="str">
        <f ca="1">I2Ext!C23</f>
        <v/>
      </c>
      <c r="G23" s="121" t="str">
        <f ca="1">I3Ext!C23</f>
        <v/>
      </c>
      <c r="H23" s="185"/>
      <c r="I23" s="185"/>
      <c r="J23" s="186"/>
      <c r="K23" s="195" t="str">
        <f t="shared" ca="1" si="0"/>
        <v/>
      </c>
      <c r="L23" s="198" t="str">
        <f ca="1">I1SA!C23</f>
        <v/>
      </c>
      <c r="M23" s="197" t="str">
        <f ca="1">I2SA!C23</f>
        <v/>
      </c>
      <c r="N23" s="122" t="str">
        <f t="shared" ca="1" si="1"/>
        <v/>
      </c>
      <c r="O23" s="151" t="str">
        <f t="shared" ca="1" si="2"/>
        <v/>
      </c>
      <c r="P23" s="385"/>
      <c r="Q23" s="385"/>
      <c r="R23" s="385"/>
      <c r="S23" s="385"/>
      <c r="T23" s="385"/>
      <c r="U23" s="385"/>
      <c r="V23" s="385"/>
      <c r="W23" s="385"/>
      <c r="X23" s="385"/>
      <c r="Y23" s="385"/>
      <c r="Z23" s="385"/>
      <c r="AA23" s="385"/>
      <c r="AB23" s="385"/>
      <c r="AC23" s="385"/>
      <c r="AD23" s="385"/>
      <c r="AE23" s="385"/>
      <c r="AF23" s="385"/>
      <c r="AG23" s="385"/>
      <c r="AH23" s="385"/>
      <c r="AI23" s="385"/>
    </row>
    <row r="24" spans="1:35" s="116" customFormat="1" ht="24.95" customHeight="1" x14ac:dyDescent="0.2">
      <c r="A24" s="140">
        <v>21</v>
      </c>
      <c r="B24" s="117"/>
      <c r="C24" s="182" t="str">
        <f ca="1">I1KA!C24</f>
        <v/>
      </c>
      <c r="D24" s="179" t="str">
        <f ca="1">I2KA!C24</f>
        <v/>
      </c>
      <c r="E24" s="132" t="str">
        <f ca="1">I1Ext!C24</f>
        <v/>
      </c>
      <c r="F24" s="121" t="str">
        <f ca="1">I2Ext!C24</f>
        <v/>
      </c>
      <c r="G24" s="121" t="str">
        <f ca="1">I3Ext!C24</f>
        <v/>
      </c>
      <c r="H24" s="185"/>
      <c r="I24" s="185"/>
      <c r="J24" s="186"/>
      <c r="K24" s="195" t="str">
        <f t="shared" ca="1" si="0"/>
        <v/>
      </c>
      <c r="L24" s="198" t="str">
        <f ca="1">I1SA!C24</f>
        <v/>
      </c>
      <c r="M24" s="197" t="str">
        <f ca="1">I2SA!C24</f>
        <v/>
      </c>
      <c r="N24" s="122" t="str">
        <f t="shared" ca="1" si="1"/>
        <v/>
      </c>
      <c r="O24" s="151" t="str">
        <f t="shared" ca="1" si="2"/>
        <v/>
      </c>
      <c r="P24" s="385"/>
      <c r="Q24" s="385"/>
      <c r="R24" s="385"/>
      <c r="S24" s="385"/>
      <c r="T24" s="385"/>
      <c r="U24" s="385"/>
      <c r="V24" s="385"/>
      <c r="W24" s="385"/>
      <c r="X24" s="385"/>
      <c r="Y24" s="385"/>
      <c r="Z24" s="385"/>
      <c r="AA24" s="385"/>
      <c r="AB24" s="385"/>
      <c r="AC24" s="385"/>
      <c r="AD24" s="385"/>
      <c r="AE24" s="385"/>
      <c r="AF24" s="385"/>
      <c r="AG24" s="385"/>
      <c r="AH24" s="385"/>
      <c r="AI24" s="385"/>
    </row>
    <row r="25" spans="1:35" s="116" customFormat="1" ht="24.95" customHeight="1" x14ac:dyDescent="0.2">
      <c r="A25" s="140">
        <v>22</v>
      </c>
      <c r="B25" s="117"/>
      <c r="C25" s="182" t="str">
        <f ca="1">I1KA!C25</f>
        <v/>
      </c>
      <c r="D25" s="179" t="str">
        <f ca="1">I2KA!C25</f>
        <v/>
      </c>
      <c r="E25" s="132" t="str">
        <f ca="1">I1Ext!C25</f>
        <v/>
      </c>
      <c r="F25" s="121" t="str">
        <f ca="1">I2Ext!C25</f>
        <v/>
      </c>
      <c r="G25" s="121" t="str">
        <f ca="1">I3Ext!C25</f>
        <v/>
      </c>
      <c r="H25" s="185"/>
      <c r="I25" s="185"/>
      <c r="J25" s="186"/>
      <c r="K25" s="195" t="str">
        <f t="shared" ca="1" si="0"/>
        <v/>
      </c>
      <c r="L25" s="198" t="str">
        <f ca="1">I1SA!C25</f>
        <v/>
      </c>
      <c r="M25" s="197" t="str">
        <f ca="1">I2SA!C25</f>
        <v/>
      </c>
      <c r="N25" s="122" t="str">
        <f t="shared" ca="1" si="1"/>
        <v/>
      </c>
      <c r="O25" s="151" t="str">
        <f t="shared" ca="1" si="2"/>
        <v/>
      </c>
      <c r="P25" s="385"/>
      <c r="Q25" s="385"/>
      <c r="R25" s="385"/>
      <c r="S25" s="385"/>
      <c r="T25" s="385"/>
      <c r="U25" s="385"/>
      <c r="V25" s="385"/>
      <c r="W25" s="385"/>
      <c r="X25" s="385"/>
      <c r="Y25" s="385"/>
      <c r="Z25" s="385"/>
      <c r="AA25" s="385"/>
      <c r="AB25" s="385"/>
      <c r="AC25" s="385"/>
      <c r="AD25" s="385"/>
      <c r="AE25" s="385"/>
      <c r="AF25" s="385"/>
      <c r="AG25" s="385"/>
      <c r="AH25" s="385"/>
      <c r="AI25" s="385"/>
    </row>
    <row r="26" spans="1:35" s="116" customFormat="1" ht="24.95" customHeight="1" x14ac:dyDescent="0.2">
      <c r="A26" s="140">
        <v>23</v>
      </c>
      <c r="B26" s="117"/>
      <c r="C26" s="182" t="str">
        <f ca="1">I1KA!C26</f>
        <v/>
      </c>
      <c r="D26" s="179" t="str">
        <f ca="1">I2KA!C26</f>
        <v/>
      </c>
      <c r="E26" s="132" t="str">
        <f ca="1">I1Ext!C26</f>
        <v/>
      </c>
      <c r="F26" s="121" t="str">
        <f ca="1">I2Ext!C26</f>
        <v/>
      </c>
      <c r="G26" s="121" t="str">
        <f ca="1">I3Ext!C26</f>
        <v/>
      </c>
      <c r="H26" s="185"/>
      <c r="I26" s="185"/>
      <c r="J26" s="186"/>
      <c r="K26" s="195" t="str">
        <f t="shared" ca="1" si="0"/>
        <v/>
      </c>
      <c r="L26" s="198" t="str">
        <f ca="1">I1SA!C26</f>
        <v/>
      </c>
      <c r="M26" s="197" t="str">
        <f ca="1">I2SA!C26</f>
        <v/>
      </c>
      <c r="N26" s="122" t="str">
        <f t="shared" ca="1" si="1"/>
        <v/>
      </c>
      <c r="O26" s="151" t="str">
        <f t="shared" ca="1" si="2"/>
        <v/>
      </c>
      <c r="P26" s="385"/>
      <c r="Q26" s="385"/>
      <c r="R26" s="385"/>
      <c r="S26" s="385"/>
      <c r="T26" s="385"/>
      <c r="U26" s="385"/>
      <c r="V26" s="385"/>
      <c r="W26" s="385"/>
      <c r="X26" s="385"/>
      <c r="Y26" s="385"/>
      <c r="Z26" s="385"/>
      <c r="AA26" s="385"/>
      <c r="AB26" s="385"/>
      <c r="AC26" s="385"/>
      <c r="AD26" s="385"/>
      <c r="AE26" s="385"/>
      <c r="AF26" s="385"/>
      <c r="AG26" s="385"/>
      <c r="AH26" s="385"/>
      <c r="AI26" s="385"/>
    </row>
    <row r="27" spans="1:35" s="116" customFormat="1" ht="24.95" customHeight="1" x14ac:dyDescent="0.2">
      <c r="A27" s="140">
        <v>24</v>
      </c>
      <c r="B27" s="117"/>
      <c r="C27" s="182" t="str">
        <f ca="1">I1KA!C27</f>
        <v/>
      </c>
      <c r="D27" s="179" t="str">
        <f ca="1">I2KA!C27</f>
        <v/>
      </c>
      <c r="E27" s="132" t="str">
        <f ca="1">I1Ext!C27</f>
        <v/>
      </c>
      <c r="F27" s="121" t="str">
        <f ca="1">I2Ext!C27</f>
        <v/>
      </c>
      <c r="G27" s="121" t="str">
        <f ca="1">I3Ext!C27</f>
        <v/>
      </c>
      <c r="H27" s="185"/>
      <c r="I27" s="185"/>
      <c r="J27" s="186"/>
      <c r="K27" s="195" t="str">
        <f t="shared" ca="1" si="0"/>
        <v/>
      </c>
      <c r="L27" s="198" t="str">
        <f ca="1">I1SA!C27</f>
        <v/>
      </c>
      <c r="M27" s="197" t="str">
        <f ca="1">I2SA!C27</f>
        <v/>
      </c>
      <c r="N27" s="122" t="str">
        <f t="shared" ca="1" si="1"/>
        <v/>
      </c>
      <c r="O27" s="151" t="str">
        <f t="shared" ca="1" si="2"/>
        <v/>
      </c>
      <c r="P27" s="385"/>
      <c r="Q27" s="385"/>
      <c r="R27" s="385"/>
      <c r="S27" s="385"/>
      <c r="T27" s="385"/>
      <c r="U27" s="385"/>
      <c r="V27" s="385"/>
      <c r="W27" s="385"/>
      <c r="X27" s="385"/>
      <c r="Y27" s="385"/>
      <c r="Z27" s="385"/>
      <c r="AA27" s="385"/>
      <c r="AB27" s="385"/>
      <c r="AC27" s="385"/>
      <c r="AD27" s="385"/>
      <c r="AE27" s="385"/>
      <c r="AF27" s="385"/>
      <c r="AG27" s="385"/>
      <c r="AH27" s="385"/>
      <c r="AI27" s="385"/>
    </row>
    <row r="28" spans="1:35" s="116" customFormat="1" ht="24.95" customHeight="1" x14ac:dyDescent="0.2">
      <c r="A28" s="140">
        <v>25</v>
      </c>
      <c r="B28" s="117"/>
      <c r="C28" s="182" t="str">
        <f ca="1">I1KA!C28</f>
        <v/>
      </c>
      <c r="D28" s="179" t="str">
        <f ca="1">I2KA!C28</f>
        <v/>
      </c>
      <c r="E28" s="132" t="str">
        <f ca="1">I1Ext!C28</f>
        <v/>
      </c>
      <c r="F28" s="121" t="str">
        <f ca="1">I2Ext!C28</f>
        <v/>
      </c>
      <c r="G28" s="121" t="str">
        <f ca="1">I3Ext!C28</f>
        <v/>
      </c>
      <c r="H28" s="185"/>
      <c r="I28" s="185"/>
      <c r="J28" s="186"/>
      <c r="K28" s="195" t="str">
        <f t="shared" ca="1" si="0"/>
        <v/>
      </c>
      <c r="L28" s="198" t="str">
        <f ca="1">I1SA!C28</f>
        <v/>
      </c>
      <c r="M28" s="197" t="str">
        <f ca="1">I2SA!C28</f>
        <v/>
      </c>
      <c r="N28" s="122" t="str">
        <f t="shared" ca="1" si="1"/>
        <v/>
      </c>
      <c r="O28" s="151" t="str">
        <f t="shared" ca="1" si="2"/>
        <v/>
      </c>
      <c r="P28" s="385"/>
      <c r="Q28" s="385"/>
      <c r="R28" s="385"/>
      <c r="S28" s="385"/>
      <c r="T28" s="385"/>
      <c r="U28" s="385"/>
      <c r="V28" s="385"/>
      <c r="W28" s="385"/>
      <c r="X28" s="385"/>
      <c r="Y28" s="385"/>
      <c r="Z28" s="385"/>
      <c r="AA28" s="385"/>
      <c r="AB28" s="385"/>
      <c r="AC28" s="385"/>
      <c r="AD28" s="385"/>
      <c r="AE28" s="385"/>
      <c r="AF28" s="385"/>
      <c r="AG28" s="385"/>
      <c r="AH28" s="385"/>
      <c r="AI28" s="385"/>
    </row>
    <row r="29" spans="1:35" s="116" customFormat="1" ht="24.95" customHeight="1" x14ac:dyDescent="0.2">
      <c r="A29" s="140">
        <v>26</v>
      </c>
      <c r="B29" s="117"/>
      <c r="C29" s="182" t="str">
        <f ca="1">I1KA!C29</f>
        <v/>
      </c>
      <c r="D29" s="179" t="str">
        <f ca="1">I2KA!C29</f>
        <v/>
      </c>
      <c r="E29" s="132" t="str">
        <f ca="1">I1Ext!C29</f>
        <v/>
      </c>
      <c r="F29" s="121" t="str">
        <f ca="1">I2Ext!C29</f>
        <v/>
      </c>
      <c r="G29" s="121" t="str">
        <f ca="1">I3Ext!C29</f>
        <v/>
      </c>
      <c r="H29" s="185"/>
      <c r="I29" s="185"/>
      <c r="J29" s="186"/>
      <c r="K29" s="195" t="str">
        <f t="shared" ca="1" si="0"/>
        <v/>
      </c>
      <c r="L29" s="198" t="str">
        <f ca="1">I1SA!C29</f>
        <v/>
      </c>
      <c r="M29" s="197" t="str">
        <f ca="1">I2SA!C29</f>
        <v/>
      </c>
      <c r="N29" s="122" t="str">
        <f t="shared" ca="1" si="1"/>
        <v/>
      </c>
      <c r="O29" s="151" t="str">
        <f t="shared" ca="1" si="2"/>
        <v/>
      </c>
      <c r="P29" s="385"/>
      <c r="Q29" s="385"/>
      <c r="R29" s="385"/>
      <c r="S29" s="385"/>
      <c r="T29" s="385"/>
      <c r="U29" s="385"/>
      <c r="V29" s="385"/>
      <c r="W29" s="385"/>
      <c r="X29" s="385"/>
      <c r="Y29" s="385"/>
      <c r="Z29" s="385"/>
      <c r="AA29" s="385"/>
      <c r="AB29" s="385"/>
      <c r="AC29" s="385"/>
      <c r="AD29" s="385"/>
      <c r="AE29" s="385"/>
      <c r="AF29" s="385"/>
      <c r="AG29" s="385"/>
      <c r="AH29" s="385"/>
      <c r="AI29" s="385"/>
    </row>
    <row r="30" spans="1:35" s="116" customFormat="1" ht="24.95" customHeight="1" x14ac:dyDescent="0.2">
      <c r="A30" s="140">
        <v>27</v>
      </c>
      <c r="B30" s="117"/>
      <c r="C30" s="182" t="str">
        <f ca="1">I1KA!C30</f>
        <v/>
      </c>
      <c r="D30" s="179" t="str">
        <f ca="1">I2KA!C30</f>
        <v/>
      </c>
      <c r="E30" s="132" t="str">
        <f ca="1">I1Ext!C30</f>
        <v/>
      </c>
      <c r="F30" s="121" t="str">
        <f ca="1">I2Ext!C30</f>
        <v/>
      </c>
      <c r="G30" s="121" t="str">
        <f ca="1">I3Ext!C30</f>
        <v/>
      </c>
      <c r="H30" s="185"/>
      <c r="I30" s="185"/>
      <c r="J30" s="186"/>
      <c r="K30" s="195" t="str">
        <f t="shared" ca="1" si="0"/>
        <v/>
      </c>
      <c r="L30" s="198" t="str">
        <f ca="1">I1SA!C30</f>
        <v/>
      </c>
      <c r="M30" s="197" t="str">
        <f ca="1">I2SA!C30</f>
        <v/>
      </c>
      <c r="N30" s="122" t="str">
        <f t="shared" ca="1" si="1"/>
        <v/>
      </c>
      <c r="O30" s="151" t="str">
        <f t="shared" ca="1" si="2"/>
        <v/>
      </c>
      <c r="P30" s="385"/>
      <c r="Q30" s="385"/>
      <c r="R30" s="385"/>
      <c r="S30" s="385"/>
      <c r="T30" s="385"/>
      <c r="U30" s="385"/>
      <c r="V30" s="385"/>
      <c r="W30" s="385"/>
      <c r="X30" s="385"/>
      <c r="Y30" s="385"/>
      <c r="Z30" s="385"/>
      <c r="AA30" s="385"/>
      <c r="AB30" s="385"/>
      <c r="AC30" s="385"/>
      <c r="AD30" s="385"/>
      <c r="AE30" s="385"/>
      <c r="AF30" s="385"/>
      <c r="AG30" s="385"/>
      <c r="AH30" s="385"/>
      <c r="AI30" s="385"/>
    </row>
    <row r="31" spans="1:35" s="116" customFormat="1" ht="24.95" customHeight="1" x14ac:dyDescent="0.2">
      <c r="A31" s="140">
        <v>28</v>
      </c>
      <c r="B31" s="117"/>
      <c r="C31" s="182" t="str">
        <f ca="1">I1KA!C31</f>
        <v/>
      </c>
      <c r="D31" s="179" t="str">
        <f ca="1">I2KA!C31</f>
        <v/>
      </c>
      <c r="E31" s="132" t="str">
        <f ca="1">I1Ext!C31</f>
        <v/>
      </c>
      <c r="F31" s="121" t="str">
        <f ca="1">I2Ext!C31</f>
        <v/>
      </c>
      <c r="G31" s="121" t="str">
        <f ca="1">I3Ext!C31</f>
        <v/>
      </c>
      <c r="H31" s="185"/>
      <c r="I31" s="185"/>
      <c r="J31" s="186"/>
      <c r="K31" s="195" t="str">
        <f t="shared" ca="1" si="0"/>
        <v/>
      </c>
      <c r="L31" s="198" t="str">
        <f ca="1">I1SA!C31</f>
        <v/>
      </c>
      <c r="M31" s="197" t="str">
        <f ca="1">I2SA!C31</f>
        <v/>
      </c>
      <c r="N31" s="122" t="str">
        <f t="shared" ca="1" si="1"/>
        <v/>
      </c>
      <c r="O31" s="151" t="str">
        <f t="shared" ca="1" si="2"/>
        <v/>
      </c>
      <c r="P31" s="385"/>
      <c r="Q31" s="385"/>
      <c r="R31" s="385"/>
      <c r="S31" s="385"/>
      <c r="T31" s="385"/>
      <c r="U31" s="385"/>
      <c r="V31" s="385"/>
      <c r="W31" s="385"/>
      <c r="X31" s="385"/>
      <c r="Y31" s="385"/>
      <c r="Z31" s="385"/>
      <c r="AA31" s="385"/>
      <c r="AB31" s="385"/>
      <c r="AC31" s="385"/>
      <c r="AD31" s="385"/>
      <c r="AE31" s="385"/>
      <c r="AF31" s="385"/>
      <c r="AG31" s="385"/>
      <c r="AH31" s="385"/>
      <c r="AI31" s="385"/>
    </row>
    <row r="32" spans="1:35" s="116" customFormat="1" ht="24.95" customHeight="1" x14ac:dyDescent="0.2">
      <c r="A32" s="140">
        <v>29</v>
      </c>
      <c r="B32" s="117"/>
      <c r="C32" s="182" t="str">
        <f ca="1">I1KA!C32</f>
        <v/>
      </c>
      <c r="D32" s="179" t="str">
        <f ca="1">I2KA!C32</f>
        <v/>
      </c>
      <c r="E32" s="132" t="str">
        <f ca="1">I1Ext!C32</f>
        <v/>
      </c>
      <c r="F32" s="121" t="str">
        <f ca="1">I2Ext!C32</f>
        <v/>
      </c>
      <c r="G32" s="121" t="str">
        <f ca="1">I3Ext!C32</f>
        <v/>
      </c>
      <c r="H32" s="185"/>
      <c r="I32" s="185"/>
      <c r="J32" s="186"/>
      <c r="K32" s="195" t="str">
        <f t="shared" ca="1" si="0"/>
        <v/>
      </c>
      <c r="L32" s="198" t="str">
        <f ca="1">I1SA!C32</f>
        <v/>
      </c>
      <c r="M32" s="197" t="str">
        <f ca="1">I2SA!C32</f>
        <v/>
      </c>
      <c r="N32" s="122" t="str">
        <f t="shared" ca="1" si="1"/>
        <v/>
      </c>
      <c r="O32" s="151" t="str">
        <f t="shared" ca="1" si="2"/>
        <v/>
      </c>
      <c r="P32" s="385"/>
      <c r="Q32" s="385"/>
      <c r="R32" s="385"/>
      <c r="S32" s="385"/>
      <c r="T32" s="385"/>
      <c r="U32" s="385"/>
      <c r="V32" s="385"/>
      <c r="W32" s="385"/>
      <c r="X32" s="385"/>
      <c r="Y32" s="385"/>
      <c r="Z32" s="385"/>
      <c r="AA32" s="385"/>
      <c r="AB32" s="385"/>
      <c r="AC32" s="385"/>
      <c r="AD32" s="385"/>
      <c r="AE32" s="385"/>
      <c r="AF32" s="385"/>
      <c r="AG32" s="385"/>
      <c r="AH32" s="385"/>
      <c r="AI32" s="385"/>
    </row>
    <row r="33" spans="1:36" s="116" customFormat="1" ht="24.95" customHeight="1" x14ac:dyDescent="0.2">
      <c r="A33" s="140">
        <v>30</v>
      </c>
      <c r="B33" s="117"/>
      <c r="C33" s="182" t="str">
        <f ca="1">I1KA!C33</f>
        <v/>
      </c>
      <c r="D33" s="179" t="str">
        <f ca="1">I2KA!C33</f>
        <v/>
      </c>
      <c r="E33" s="132" t="str">
        <f ca="1">I1Ext!C33</f>
        <v/>
      </c>
      <c r="F33" s="121" t="str">
        <f ca="1">I2Ext!C33</f>
        <v/>
      </c>
      <c r="G33" s="121" t="str">
        <f ca="1">I3Ext!C33</f>
        <v/>
      </c>
      <c r="H33" s="185"/>
      <c r="I33" s="185"/>
      <c r="J33" s="186"/>
      <c r="K33" s="195" t="str">
        <f t="shared" ca="1" si="0"/>
        <v/>
      </c>
      <c r="L33" s="198" t="str">
        <f ca="1">I1SA!C33</f>
        <v/>
      </c>
      <c r="M33" s="197" t="str">
        <f ca="1">I2SA!C33</f>
        <v/>
      </c>
      <c r="N33" s="122" t="str">
        <f t="shared" ca="1" si="1"/>
        <v/>
      </c>
      <c r="O33" s="151" t="str">
        <f t="shared" ca="1" si="2"/>
        <v/>
      </c>
      <c r="P33" s="385"/>
      <c r="Q33" s="385"/>
      <c r="R33" s="385"/>
      <c r="S33" s="385"/>
      <c r="T33" s="385"/>
      <c r="U33" s="385"/>
      <c r="V33" s="385"/>
      <c r="W33" s="385"/>
      <c r="X33" s="385"/>
      <c r="Y33" s="385"/>
      <c r="Z33" s="385"/>
      <c r="AA33" s="385"/>
      <c r="AB33" s="385"/>
      <c r="AC33" s="385"/>
      <c r="AD33" s="385"/>
      <c r="AE33" s="385"/>
      <c r="AF33" s="385"/>
      <c r="AG33" s="385"/>
      <c r="AH33" s="385"/>
      <c r="AI33" s="385"/>
    </row>
    <row r="34" spans="1:36" s="116" customFormat="1" ht="24.95" customHeight="1" x14ac:dyDescent="0.2">
      <c r="A34" s="140">
        <v>31</v>
      </c>
      <c r="B34" s="117"/>
      <c r="C34" s="182" t="str">
        <f ca="1">I1KA!C34</f>
        <v/>
      </c>
      <c r="D34" s="179" t="str">
        <f ca="1">I2KA!C34</f>
        <v/>
      </c>
      <c r="E34" s="132" t="str">
        <f ca="1">I1Ext!C34</f>
        <v/>
      </c>
      <c r="F34" s="121" t="str">
        <f ca="1">I2Ext!C34</f>
        <v/>
      </c>
      <c r="G34" s="121" t="str">
        <f ca="1">I3Ext!C34</f>
        <v/>
      </c>
      <c r="H34" s="185"/>
      <c r="I34" s="185"/>
      <c r="J34" s="186"/>
      <c r="K34" s="195" t="str">
        <f t="shared" ca="1" si="0"/>
        <v/>
      </c>
      <c r="L34" s="198" t="str">
        <f ca="1">I1SA!C34</f>
        <v/>
      </c>
      <c r="M34" s="197" t="str">
        <f ca="1">I2SA!C34</f>
        <v/>
      </c>
      <c r="N34" s="122" t="str">
        <f t="shared" ca="1" si="1"/>
        <v/>
      </c>
      <c r="O34" s="151" t="str">
        <f t="shared" ca="1" si="2"/>
        <v/>
      </c>
      <c r="P34" s="385"/>
      <c r="Q34" s="385"/>
      <c r="R34" s="385"/>
      <c r="S34" s="385"/>
      <c r="T34" s="385"/>
      <c r="U34" s="385"/>
      <c r="V34" s="385"/>
      <c r="W34" s="385"/>
      <c r="X34" s="385"/>
      <c r="Y34" s="385"/>
      <c r="Z34" s="385"/>
      <c r="AA34" s="385"/>
      <c r="AB34" s="385"/>
      <c r="AC34" s="385"/>
      <c r="AD34" s="385"/>
      <c r="AE34" s="385"/>
      <c r="AF34" s="385"/>
      <c r="AG34" s="385"/>
      <c r="AH34" s="385"/>
      <c r="AI34" s="385"/>
    </row>
    <row r="35" spans="1:36" s="116" customFormat="1" ht="24.95" customHeight="1" x14ac:dyDescent="0.2">
      <c r="A35" s="140">
        <v>32</v>
      </c>
      <c r="B35" s="117"/>
      <c r="C35" s="182" t="str">
        <f ca="1">I1KA!C35</f>
        <v/>
      </c>
      <c r="D35" s="179" t="str">
        <f ca="1">I2KA!C35</f>
        <v/>
      </c>
      <c r="E35" s="132" t="str">
        <f ca="1">I1Ext!C35</f>
        <v/>
      </c>
      <c r="F35" s="121" t="str">
        <f ca="1">I2Ext!C35</f>
        <v/>
      </c>
      <c r="G35" s="121" t="str">
        <f ca="1">I3Ext!C35</f>
        <v/>
      </c>
      <c r="H35" s="185"/>
      <c r="I35" s="185"/>
      <c r="J35" s="186"/>
      <c r="K35" s="195" t="str">
        <f t="shared" ca="1" si="0"/>
        <v/>
      </c>
      <c r="L35" s="198" t="str">
        <f ca="1">I1SA!C35</f>
        <v/>
      </c>
      <c r="M35" s="197" t="str">
        <f ca="1">I2SA!C35</f>
        <v/>
      </c>
      <c r="N35" s="122" t="str">
        <f t="shared" ca="1" si="1"/>
        <v/>
      </c>
      <c r="O35" s="151" t="str">
        <f t="shared" ca="1" si="2"/>
        <v/>
      </c>
      <c r="P35" s="385"/>
      <c r="Q35" s="385"/>
      <c r="R35" s="385"/>
      <c r="S35" s="385"/>
      <c r="T35" s="385"/>
      <c r="U35" s="385"/>
      <c r="V35" s="385"/>
      <c r="W35" s="385"/>
      <c r="X35" s="385"/>
      <c r="Y35" s="385"/>
      <c r="Z35" s="385"/>
      <c r="AA35" s="385"/>
      <c r="AB35" s="385"/>
      <c r="AC35" s="385"/>
      <c r="AD35" s="385"/>
      <c r="AE35" s="385"/>
      <c r="AF35" s="385"/>
      <c r="AG35" s="385"/>
      <c r="AH35" s="385"/>
      <c r="AI35" s="385"/>
    </row>
    <row r="36" spans="1:36" s="116" customFormat="1" ht="24.95" customHeight="1" x14ac:dyDescent="0.2">
      <c r="A36" s="140">
        <v>33</v>
      </c>
      <c r="B36" s="117"/>
      <c r="C36" s="182" t="str">
        <f ca="1">I1KA!C36</f>
        <v/>
      </c>
      <c r="D36" s="179" t="str">
        <f ca="1">I2KA!C36</f>
        <v/>
      </c>
      <c r="E36" s="132" t="str">
        <f ca="1">I1Ext!C36</f>
        <v/>
      </c>
      <c r="F36" s="121" t="str">
        <f ca="1">I2Ext!C36</f>
        <v/>
      </c>
      <c r="G36" s="121" t="str">
        <f ca="1">I3Ext!C36</f>
        <v/>
      </c>
      <c r="H36" s="185"/>
      <c r="I36" s="185"/>
      <c r="J36" s="186"/>
      <c r="K36" s="195" t="str">
        <f t="shared" ca="1" si="0"/>
        <v/>
      </c>
      <c r="L36" s="198" t="str">
        <f ca="1">I1SA!C36</f>
        <v/>
      </c>
      <c r="M36" s="197" t="str">
        <f ca="1">I2SA!C36</f>
        <v/>
      </c>
      <c r="N36" s="122" t="str">
        <f t="shared" ca="1" si="1"/>
        <v/>
      </c>
      <c r="O36" s="151" t="str">
        <f t="shared" ca="1" si="2"/>
        <v/>
      </c>
      <c r="P36" s="385"/>
      <c r="Q36" s="385"/>
      <c r="R36" s="385"/>
      <c r="S36" s="385"/>
      <c r="T36" s="385"/>
      <c r="U36" s="385"/>
      <c r="V36" s="385"/>
      <c r="W36" s="385"/>
      <c r="X36" s="385"/>
      <c r="Y36" s="385"/>
      <c r="Z36" s="385"/>
      <c r="AA36" s="385"/>
      <c r="AB36" s="385"/>
      <c r="AC36" s="385"/>
      <c r="AD36" s="385"/>
      <c r="AE36" s="385"/>
      <c r="AF36" s="385"/>
      <c r="AG36" s="385"/>
      <c r="AH36" s="385"/>
      <c r="AI36" s="385"/>
    </row>
    <row r="37" spans="1:36" s="116" customFormat="1" ht="24.95" customHeight="1" x14ac:dyDescent="0.2">
      <c r="A37" s="140">
        <v>34</v>
      </c>
      <c r="B37" s="117"/>
      <c r="C37" s="182" t="str">
        <f ca="1">I1KA!C37</f>
        <v/>
      </c>
      <c r="D37" s="179" t="str">
        <f ca="1">I2KA!C37</f>
        <v/>
      </c>
      <c r="E37" s="132" t="str">
        <f ca="1">I1Ext!C37</f>
        <v/>
      </c>
      <c r="F37" s="121" t="str">
        <f ca="1">I2Ext!C37</f>
        <v/>
      </c>
      <c r="G37" s="121" t="str">
        <f ca="1">I3Ext!C37</f>
        <v/>
      </c>
      <c r="H37" s="185"/>
      <c r="I37" s="185"/>
      <c r="J37" s="186"/>
      <c r="K37" s="195" t="str">
        <f t="shared" ca="1" si="0"/>
        <v/>
      </c>
      <c r="L37" s="198" t="str">
        <f ca="1">I1SA!C37</f>
        <v/>
      </c>
      <c r="M37" s="197" t="str">
        <f ca="1">I2SA!C37</f>
        <v/>
      </c>
      <c r="N37" s="122" t="str">
        <f t="shared" ca="1" si="1"/>
        <v/>
      </c>
      <c r="O37" s="151" t="str">
        <f t="shared" ca="1" si="2"/>
        <v/>
      </c>
      <c r="P37" s="385"/>
      <c r="Q37" s="385"/>
      <c r="R37" s="385"/>
      <c r="S37" s="385"/>
      <c r="T37" s="385"/>
      <c r="U37" s="385"/>
      <c r="V37" s="385"/>
      <c r="W37" s="385"/>
      <c r="X37" s="385"/>
      <c r="Y37" s="385"/>
      <c r="Z37" s="385"/>
      <c r="AA37" s="385"/>
      <c r="AB37" s="385"/>
      <c r="AC37" s="385"/>
      <c r="AD37" s="385"/>
      <c r="AE37" s="385"/>
      <c r="AF37" s="385"/>
      <c r="AG37" s="385"/>
      <c r="AH37" s="385"/>
      <c r="AI37" s="385"/>
    </row>
    <row r="38" spans="1:36" s="116" customFormat="1" ht="24.95" customHeight="1" thickBot="1" x14ac:dyDescent="0.25">
      <c r="A38" s="141">
        <v>35</v>
      </c>
      <c r="B38" s="119"/>
      <c r="C38" s="183" t="str">
        <f ca="1">I1KA!C38</f>
        <v/>
      </c>
      <c r="D38" s="180" t="str">
        <f ca="1">I2KA!C38</f>
        <v/>
      </c>
      <c r="E38" s="176" t="str">
        <f ca="1">I1Ext!C38</f>
        <v/>
      </c>
      <c r="F38" s="177" t="str">
        <f ca="1">I2Ext!C38</f>
        <v/>
      </c>
      <c r="G38" s="128" t="str">
        <f ca="1">I3Ext!C38</f>
        <v/>
      </c>
      <c r="H38" s="187"/>
      <c r="I38" s="187"/>
      <c r="J38" s="188"/>
      <c r="K38" s="199" t="str">
        <f t="shared" ca="1" si="0"/>
        <v/>
      </c>
      <c r="L38" s="200" t="str">
        <f ca="1">I1SA!C38</f>
        <v/>
      </c>
      <c r="M38" s="197" t="str">
        <f ca="1">I2SA!C38</f>
        <v/>
      </c>
      <c r="N38" s="122" t="str">
        <f t="shared" ca="1" si="1"/>
        <v/>
      </c>
      <c r="O38" s="152" t="str">
        <f t="shared" ca="1" si="2"/>
        <v/>
      </c>
      <c r="P38" s="385"/>
      <c r="Q38" s="385"/>
      <c r="R38" s="385"/>
      <c r="S38" s="385"/>
      <c r="T38" s="385"/>
      <c r="U38" s="385"/>
      <c r="V38" s="385"/>
      <c r="W38" s="385"/>
      <c r="X38" s="385"/>
      <c r="Y38" s="385"/>
      <c r="Z38" s="385"/>
      <c r="AA38" s="385"/>
      <c r="AB38" s="385"/>
      <c r="AC38" s="385"/>
      <c r="AD38" s="385"/>
      <c r="AE38" s="385"/>
      <c r="AF38" s="385"/>
      <c r="AG38" s="385"/>
      <c r="AH38" s="385"/>
      <c r="AI38" s="385"/>
    </row>
    <row r="39" spans="1:36" ht="21" customHeight="1" thickBot="1" x14ac:dyDescent="0.25">
      <c r="A39" s="136"/>
      <c r="B39" s="148" t="s">
        <v>31</v>
      </c>
      <c r="C39" s="380">
        <v>2</v>
      </c>
      <c r="D39" s="381">
        <v>2</v>
      </c>
      <c r="E39" s="381">
        <v>1</v>
      </c>
      <c r="F39" s="381">
        <v>1</v>
      </c>
      <c r="G39" s="382">
        <v>1</v>
      </c>
      <c r="H39" s="381">
        <v>1</v>
      </c>
      <c r="I39" s="381">
        <v>1</v>
      </c>
      <c r="J39" s="381">
        <v>1</v>
      </c>
      <c r="K39" s="194"/>
      <c r="L39" s="125"/>
      <c r="M39" s="147"/>
      <c r="N39" s="149"/>
      <c r="O39" s="147"/>
      <c r="P39" s="384"/>
      <c r="Q39" s="384"/>
      <c r="R39" s="384"/>
      <c r="S39" s="384"/>
      <c r="T39" s="384"/>
      <c r="U39" s="384"/>
      <c r="V39" s="384"/>
      <c r="W39" s="384"/>
      <c r="X39" s="384"/>
      <c r="Y39" s="384"/>
      <c r="Z39" s="384"/>
      <c r="AA39" s="384"/>
      <c r="AB39" s="384"/>
      <c r="AC39" s="384"/>
      <c r="AD39" s="384"/>
      <c r="AE39" s="384"/>
      <c r="AF39" s="384"/>
      <c r="AG39" s="384"/>
      <c r="AH39" s="384"/>
      <c r="AI39" s="384"/>
    </row>
    <row r="40" spans="1:36" x14ac:dyDescent="0.2">
      <c r="A40" s="384"/>
      <c r="B40" s="384"/>
      <c r="C40" s="384"/>
      <c r="D40" s="384"/>
      <c r="E40" s="384"/>
      <c r="F40" s="384"/>
      <c r="G40" s="384"/>
      <c r="H40" s="384"/>
      <c r="I40" s="384"/>
      <c r="J40" s="384"/>
      <c r="K40" s="384"/>
      <c r="L40" s="384"/>
      <c r="M40" s="384"/>
      <c r="N40" s="384"/>
      <c r="O40" s="384"/>
      <c r="P40" s="384"/>
      <c r="Q40" s="384"/>
      <c r="R40" s="384"/>
      <c r="S40" s="384"/>
      <c r="T40" s="384"/>
      <c r="U40" s="384"/>
      <c r="V40" s="384"/>
      <c r="W40" s="384"/>
      <c r="X40" s="384"/>
      <c r="Y40" s="384"/>
      <c r="Z40" s="384"/>
      <c r="AA40" s="384"/>
      <c r="AB40" s="384"/>
      <c r="AC40" s="384"/>
      <c r="AD40" s="384"/>
      <c r="AE40" s="384"/>
      <c r="AF40" s="384"/>
      <c r="AG40" s="384"/>
      <c r="AH40" s="384"/>
      <c r="AI40" s="384"/>
      <c r="AJ40" s="115"/>
    </row>
    <row r="41" spans="1:36" x14ac:dyDescent="0.2">
      <c r="A41" s="384"/>
      <c r="B41" s="384"/>
      <c r="C41" s="384"/>
      <c r="D41" s="384"/>
      <c r="E41" s="384"/>
      <c r="F41" s="384"/>
      <c r="G41" s="384"/>
      <c r="H41" s="384"/>
      <c r="I41" s="384"/>
      <c r="J41" s="384"/>
      <c r="K41" s="384"/>
      <c r="L41" s="384"/>
      <c r="M41" s="384"/>
      <c r="N41" s="384"/>
      <c r="O41" s="384"/>
      <c r="P41" s="384"/>
      <c r="Q41" s="384"/>
      <c r="R41" s="384"/>
      <c r="S41" s="384"/>
      <c r="T41" s="384"/>
      <c r="U41" s="384"/>
      <c r="V41" s="384"/>
      <c r="W41" s="384"/>
      <c r="X41" s="384"/>
      <c r="Y41" s="384"/>
      <c r="Z41" s="384"/>
      <c r="AA41" s="384"/>
      <c r="AB41" s="384"/>
      <c r="AC41" s="384"/>
      <c r="AD41" s="384"/>
      <c r="AE41" s="384"/>
      <c r="AF41" s="384"/>
      <c r="AG41" s="384"/>
      <c r="AH41" s="384"/>
      <c r="AI41" s="384"/>
      <c r="AJ41" s="115"/>
    </row>
    <row r="42" spans="1:36" x14ac:dyDescent="0.2">
      <c r="A42" s="384"/>
      <c r="B42" s="384"/>
      <c r="C42" s="384"/>
      <c r="D42" s="384"/>
      <c r="E42" s="384"/>
      <c r="F42" s="384"/>
      <c r="G42" s="384"/>
      <c r="H42" s="384"/>
      <c r="I42" s="384"/>
      <c r="J42" s="384"/>
      <c r="K42" s="384"/>
      <c r="L42" s="384"/>
      <c r="M42" s="384"/>
      <c r="N42" s="384"/>
      <c r="O42" s="384"/>
      <c r="P42" s="384"/>
      <c r="Q42" s="384"/>
      <c r="R42" s="384"/>
      <c r="S42" s="384"/>
      <c r="T42" s="384"/>
      <c r="U42" s="384"/>
      <c r="V42" s="384"/>
      <c r="W42" s="384"/>
      <c r="X42" s="384"/>
      <c r="Y42" s="384"/>
      <c r="Z42" s="384"/>
      <c r="AA42" s="384"/>
      <c r="AB42" s="384"/>
      <c r="AC42" s="384"/>
      <c r="AD42" s="384"/>
      <c r="AE42" s="384"/>
      <c r="AF42" s="384"/>
      <c r="AG42" s="384"/>
      <c r="AH42" s="384"/>
      <c r="AI42" s="384"/>
      <c r="AJ42" s="115"/>
    </row>
    <row r="43" spans="1:36" x14ac:dyDescent="0.2">
      <c r="A43" s="384"/>
      <c r="B43" s="384"/>
      <c r="C43" s="384"/>
      <c r="D43" s="384"/>
      <c r="E43" s="384"/>
      <c r="F43" s="384"/>
      <c r="G43" s="384"/>
      <c r="H43" s="384"/>
      <c r="I43" s="384"/>
      <c r="J43" s="384"/>
      <c r="K43" s="384"/>
      <c r="L43" s="384"/>
      <c r="M43" s="384"/>
      <c r="N43" s="384"/>
      <c r="O43" s="384"/>
      <c r="P43" s="384"/>
      <c r="Q43" s="384"/>
      <c r="R43" s="384"/>
      <c r="S43" s="384"/>
      <c r="T43" s="384"/>
      <c r="U43" s="384"/>
      <c r="V43" s="384"/>
      <c r="W43" s="384"/>
      <c r="X43" s="384"/>
      <c r="Y43" s="384"/>
      <c r="Z43" s="384"/>
      <c r="AA43" s="384"/>
      <c r="AB43" s="384"/>
      <c r="AC43" s="384"/>
      <c r="AD43" s="384"/>
      <c r="AE43" s="384"/>
      <c r="AF43" s="384"/>
      <c r="AG43" s="384"/>
      <c r="AH43" s="384"/>
      <c r="AI43" s="384"/>
      <c r="AJ43" s="115"/>
    </row>
    <row r="44" spans="1:36" x14ac:dyDescent="0.2">
      <c r="A44" s="384"/>
      <c r="B44" s="384"/>
      <c r="C44" s="384"/>
      <c r="D44" s="384"/>
      <c r="E44" s="384"/>
      <c r="F44" s="384"/>
      <c r="G44" s="384"/>
      <c r="H44" s="384"/>
      <c r="I44" s="384"/>
      <c r="J44" s="384"/>
      <c r="K44" s="384"/>
      <c r="L44" s="384"/>
      <c r="M44" s="384"/>
      <c r="N44" s="384"/>
      <c r="O44" s="384"/>
      <c r="P44" s="384"/>
      <c r="Q44" s="384"/>
      <c r="R44" s="384"/>
      <c r="S44" s="384"/>
      <c r="T44" s="384"/>
      <c r="U44" s="384"/>
      <c r="V44" s="384"/>
      <c r="W44" s="384"/>
      <c r="X44" s="384"/>
      <c r="Y44" s="384"/>
      <c r="Z44" s="384"/>
      <c r="AA44" s="384"/>
      <c r="AB44" s="384"/>
      <c r="AC44" s="384"/>
      <c r="AD44" s="384"/>
      <c r="AE44" s="384"/>
      <c r="AF44" s="384"/>
      <c r="AG44" s="384"/>
      <c r="AH44" s="384"/>
      <c r="AI44" s="384"/>
      <c r="AJ44" s="115"/>
    </row>
    <row r="45" spans="1:36" x14ac:dyDescent="0.2">
      <c r="A45" s="384"/>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115"/>
    </row>
    <row r="46" spans="1:36" x14ac:dyDescent="0.2">
      <c r="A46" s="384"/>
      <c r="B46" s="384"/>
      <c r="C46" s="384"/>
      <c r="D46" s="384"/>
      <c r="E46" s="384"/>
      <c r="F46" s="384"/>
      <c r="G46" s="384"/>
      <c r="H46" s="384"/>
      <c r="I46" s="384"/>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115"/>
    </row>
    <row r="47" spans="1:36" x14ac:dyDescent="0.2">
      <c r="A47" s="384"/>
      <c r="B47" s="384"/>
      <c r="C47" s="384"/>
      <c r="D47" s="384"/>
      <c r="E47" s="384"/>
      <c r="F47" s="384"/>
      <c r="G47" s="384"/>
      <c r="H47" s="384"/>
      <c r="I47" s="384"/>
      <c r="J47" s="384"/>
      <c r="K47" s="384"/>
      <c r="L47" s="384"/>
      <c r="M47" s="384"/>
      <c r="N47" s="384"/>
      <c r="O47" s="384"/>
      <c r="P47" s="384"/>
      <c r="Q47" s="384"/>
      <c r="R47" s="384"/>
      <c r="S47" s="384"/>
      <c r="T47" s="384"/>
      <c r="U47" s="384"/>
      <c r="V47" s="384"/>
      <c r="W47" s="384"/>
      <c r="X47" s="384"/>
      <c r="Y47" s="384"/>
      <c r="Z47" s="384"/>
      <c r="AA47" s="384"/>
      <c r="AB47" s="384"/>
      <c r="AC47" s="384"/>
      <c r="AD47" s="384"/>
      <c r="AE47" s="384"/>
      <c r="AF47" s="384"/>
      <c r="AG47" s="384"/>
      <c r="AH47" s="384"/>
      <c r="AI47" s="384"/>
      <c r="AJ47" s="115"/>
    </row>
    <row r="48" spans="1:36" x14ac:dyDescent="0.2">
      <c r="A48" s="384"/>
      <c r="B48" s="384"/>
      <c r="C48" s="384"/>
      <c r="D48" s="384"/>
      <c r="E48" s="384"/>
      <c r="F48" s="384"/>
      <c r="G48" s="384"/>
      <c r="H48" s="384"/>
      <c r="I48" s="384"/>
      <c r="J48" s="384"/>
      <c r="K48" s="384"/>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c r="AI48" s="384"/>
      <c r="AJ48" s="115"/>
    </row>
    <row r="49" spans="1:36" x14ac:dyDescent="0.2">
      <c r="A49" s="384"/>
      <c r="B49" s="384"/>
      <c r="C49" s="384"/>
      <c r="D49" s="384"/>
      <c r="E49" s="384"/>
      <c r="F49" s="384"/>
      <c r="G49" s="384"/>
      <c r="H49" s="384"/>
      <c r="I49" s="384"/>
      <c r="J49" s="384"/>
      <c r="K49" s="384"/>
      <c r="L49" s="384"/>
      <c r="M49" s="384"/>
      <c r="N49" s="384"/>
      <c r="O49" s="384"/>
      <c r="P49" s="384"/>
      <c r="Q49" s="384"/>
      <c r="R49" s="384"/>
      <c r="S49" s="384"/>
      <c r="T49" s="384"/>
      <c r="U49" s="384"/>
      <c r="V49" s="384"/>
      <c r="W49" s="384"/>
      <c r="X49" s="384"/>
      <c r="Y49" s="384"/>
      <c r="Z49" s="384"/>
      <c r="AA49" s="384"/>
      <c r="AB49" s="384"/>
      <c r="AC49" s="384"/>
      <c r="AD49" s="384"/>
      <c r="AE49" s="384"/>
      <c r="AF49" s="384"/>
      <c r="AG49" s="384"/>
      <c r="AH49" s="384"/>
      <c r="AI49" s="384"/>
      <c r="AJ49" s="115"/>
    </row>
    <row r="50" spans="1:36" x14ac:dyDescent="0.2">
      <c r="A50" s="384"/>
      <c r="B50" s="384"/>
      <c r="C50" s="384"/>
      <c r="D50" s="384"/>
      <c r="E50" s="384"/>
      <c r="F50" s="384"/>
      <c r="G50" s="384"/>
      <c r="H50" s="384"/>
      <c r="I50" s="384"/>
      <c r="J50" s="384"/>
      <c r="K50" s="384"/>
      <c r="L50" s="384"/>
      <c r="M50" s="384"/>
      <c r="N50" s="384"/>
      <c r="O50" s="384"/>
      <c r="P50" s="384"/>
      <c r="Q50" s="384"/>
      <c r="R50" s="384"/>
      <c r="S50" s="384"/>
      <c r="T50" s="384"/>
      <c r="U50" s="384"/>
      <c r="V50" s="384"/>
      <c r="W50" s="384"/>
      <c r="X50" s="384"/>
      <c r="Y50" s="384"/>
      <c r="Z50" s="384"/>
      <c r="AA50" s="384"/>
      <c r="AB50" s="384"/>
      <c r="AC50" s="384"/>
      <c r="AD50" s="384"/>
      <c r="AE50" s="384"/>
      <c r="AF50" s="384"/>
      <c r="AG50" s="384"/>
      <c r="AH50" s="384"/>
      <c r="AI50" s="384"/>
      <c r="AJ50" s="115"/>
    </row>
    <row r="51" spans="1:36" x14ac:dyDescent="0.2">
      <c r="A51" s="384"/>
      <c r="B51" s="384"/>
      <c r="C51" s="384"/>
      <c r="D51" s="384"/>
      <c r="E51" s="384"/>
      <c r="F51" s="384"/>
      <c r="G51" s="384"/>
      <c r="H51" s="384"/>
      <c r="I51" s="384"/>
      <c r="J51" s="384"/>
      <c r="K51" s="384"/>
      <c r="L51" s="384"/>
      <c r="M51" s="384"/>
      <c r="N51" s="384"/>
      <c r="O51" s="384"/>
      <c r="P51" s="384"/>
      <c r="Q51" s="384"/>
      <c r="R51" s="384"/>
      <c r="S51" s="384"/>
      <c r="T51" s="384"/>
      <c r="U51" s="384"/>
      <c r="V51" s="384"/>
      <c r="W51" s="384"/>
      <c r="X51" s="384"/>
      <c r="Y51" s="384"/>
      <c r="Z51" s="384"/>
      <c r="AA51" s="384"/>
      <c r="AB51" s="384"/>
      <c r="AC51" s="384"/>
      <c r="AD51" s="384"/>
      <c r="AE51" s="384"/>
      <c r="AF51" s="384"/>
      <c r="AG51" s="384"/>
      <c r="AH51" s="384"/>
      <c r="AI51" s="384"/>
      <c r="AJ51" s="115"/>
    </row>
    <row r="52" spans="1:36" x14ac:dyDescent="0.2">
      <c r="A52" s="384"/>
      <c r="B52" s="384"/>
      <c r="C52" s="384"/>
      <c r="D52" s="384"/>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c r="AI52" s="384"/>
      <c r="AJ52" s="115"/>
    </row>
    <row r="53" spans="1:36" x14ac:dyDescent="0.2">
      <c r="A53" s="384"/>
      <c r="B53" s="384"/>
      <c r="C53" s="384"/>
      <c r="D53" s="384"/>
      <c r="E53" s="384"/>
      <c r="F53" s="384"/>
      <c r="G53" s="384"/>
      <c r="H53" s="384"/>
      <c r="I53" s="384"/>
      <c r="J53" s="384"/>
      <c r="K53" s="384"/>
      <c r="L53" s="384"/>
      <c r="M53" s="384"/>
      <c r="N53" s="384"/>
      <c r="O53" s="384"/>
      <c r="P53" s="384"/>
      <c r="Q53" s="384"/>
      <c r="R53" s="384"/>
      <c r="S53" s="384"/>
      <c r="T53" s="384"/>
      <c r="U53" s="384"/>
      <c r="V53" s="384"/>
      <c r="W53" s="384"/>
      <c r="X53" s="384"/>
      <c r="Y53" s="384"/>
      <c r="Z53" s="384"/>
      <c r="AA53" s="384"/>
      <c r="AB53" s="384"/>
      <c r="AC53" s="384"/>
      <c r="AD53" s="384"/>
      <c r="AE53" s="384"/>
      <c r="AF53" s="384"/>
      <c r="AG53" s="384"/>
      <c r="AH53" s="384"/>
      <c r="AI53" s="384"/>
      <c r="AJ53" s="115"/>
    </row>
    <row r="54" spans="1:36" x14ac:dyDescent="0.2">
      <c r="A54" s="384"/>
      <c r="B54" s="384"/>
      <c r="C54" s="384"/>
      <c r="D54" s="384"/>
      <c r="E54" s="384"/>
      <c r="F54" s="384"/>
      <c r="G54" s="384"/>
      <c r="H54" s="384"/>
      <c r="I54" s="384"/>
      <c r="J54" s="384"/>
      <c r="K54" s="384"/>
      <c r="L54" s="384"/>
      <c r="M54" s="384"/>
      <c r="N54" s="384"/>
      <c r="O54" s="384"/>
      <c r="P54" s="384"/>
      <c r="Q54" s="384"/>
      <c r="R54" s="384"/>
      <c r="S54" s="384"/>
      <c r="T54" s="384"/>
      <c r="U54" s="384"/>
      <c r="V54" s="384"/>
      <c r="W54" s="384"/>
      <c r="X54" s="384"/>
      <c r="Y54" s="384"/>
      <c r="Z54" s="384"/>
      <c r="AA54" s="384"/>
      <c r="AB54" s="384"/>
      <c r="AC54" s="384"/>
      <c r="AD54" s="384"/>
      <c r="AE54" s="384"/>
      <c r="AF54" s="384"/>
      <c r="AG54" s="384"/>
      <c r="AH54" s="384"/>
      <c r="AI54" s="384"/>
      <c r="AJ54" s="115"/>
    </row>
    <row r="55" spans="1:36" x14ac:dyDescent="0.2">
      <c r="A55" s="384"/>
      <c r="B55" s="384"/>
      <c r="C55" s="384"/>
      <c r="D55" s="384"/>
      <c r="E55" s="384"/>
      <c r="F55" s="384"/>
      <c r="G55" s="384"/>
      <c r="H55" s="384"/>
      <c r="I55" s="384"/>
      <c r="J55" s="384"/>
      <c r="K55" s="384"/>
      <c r="L55" s="384"/>
      <c r="M55" s="384"/>
      <c r="N55" s="384"/>
      <c r="O55" s="384"/>
      <c r="P55" s="384"/>
      <c r="Q55" s="384"/>
      <c r="R55" s="384"/>
      <c r="S55" s="384"/>
      <c r="T55" s="384"/>
      <c r="U55" s="384"/>
      <c r="V55" s="384"/>
      <c r="W55" s="384"/>
      <c r="X55" s="384"/>
      <c r="Y55" s="384"/>
      <c r="Z55" s="384"/>
      <c r="AA55" s="384"/>
      <c r="AB55" s="384"/>
      <c r="AC55" s="384"/>
      <c r="AD55" s="384"/>
      <c r="AE55" s="384"/>
      <c r="AF55" s="384"/>
      <c r="AG55" s="384"/>
      <c r="AH55" s="384"/>
      <c r="AI55" s="384"/>
      <c r="AJ55" s="115"/>
    </row>
    <row r="56" spans="1:36" x14ac:dyDescent="0.2">
      <c r="A56" s="384"/>
      <c r="B56" s="384"/>
      <c r="C56" s="384"/>
      <c r="D56" s="384"/>
      <c r="E56" s="384"/>
      <c r="F56" s="384"/>
      <c r="G56" s="384"/>
      <c r="H56" s="384"/>
      <c r="I56" s="384"/>
      <c r="J56" s="384"/>
      <c r="K56" s="384"/>
      <c r="L56" s="384"/>
      <c r="M56" s="384"/>
      <c r="N56" s="384"/>
      <c r="O56" s="384"/>
      <c r="P56" s="384"/>
      <c r="Q56" s="384"/>
      <c r="R56" s="384"/>
      <c r="S56" s="384"/>
      <c r="T56" s="384"/>
      <c r="U56" s="384"/>
      <c r="V56" s="384"/>
      <c r="W56" s="384"/>
      <c r="X56" s="384"/>
      <c r="Y56" s="384"/>
      <c r="Z56" s="384"/>
      <c r="AA56" s="384"/>
      <c r="AB56" s="384"/>
      <c r="AC56" s="384"/>
      <c r="AD56" s="384"/>
      <c r="AE56" s="384"/>
      <c r="AF56" s="384"/>
      <c r="AG56" s="384"/>
      <c r="AH56" s="384"/>
      <c r="AI56" s="384"/>
      <c r="AJ56" s="115"/>
    </row>
    <row r="57" spans="1:36" x14ac:dyDescent="0.2">
      <c r="A57" s="384"/>
      <c r="B57" s="384"/>
      <c r="C57" s="384"/>
      <c r="D57" s="384"/>
      <c r="E57" s="384"/>
      <c r="F57" s="384"/>
      <c r="G57" s="384"/>
      <c r="H57" s="384"/>
      <c r="I57" s="384"/>
      <c r="J57" s="384"/>
      <c r="K57" s="384"/>
      <c r="L57" s="384"/>
      <c r="M57" s="384"/>
      <c r="N57" s="384"/>
      <c r="O57" s="384"/>
      <c r="P57" s="384"/>
      <c r="Q57" s="384"/>
      <c r="R57" s="384"/>
      <c r="S57" s="384"/>
      <c r="T57" s="384"/>
      <c r="U57" s="384"/>
      <c r="V57" s="384"/>
      <c r="W57" s="384"/>
      <c r="X57" s="384"/>
      <c r="Y57" s="384"/>
      <c r="Z57" s="384"/>
      <c r="AA57" s="384"/>
      <c r="AB57" s="384"/>
      <c r="AC57" s="384"/>
      <c r="AD57" s="384"/>
      <c r="AE57" s="384"/>
      <c r="AF57" s="384"/>
      <c r="AG57" s="384"/>
      <c r="AH57" s="384"/>
      <c r="AI57" s="384"/>
      <c r="AJ57" s="115"/>
    </row>
    <row r="58" spans="1:36" x14ac:dyDescent="0.2">
      <c r="A58" s="384"/>
      <c r="B58" s="384"/>
      <c r="C58" s="384"/>
      <c r="D58" s="384"/>
      <c r="E58" s="384"/>
      <c r="F58" s="384"/>
      <c r="G58" s="384"/>
      <c r="H58" s="384"/>
      <c r="I58" s="384"/>
      <c r="J58" s="384"/>
      <c r="K58" s="384"/>
      <c r="L58" s="384"/>
      <c r="M58" s="384"/>
      <c r="N58" s="384"/>
      <c r="O58" s="384"/>
      <c r="P58" s="384"/>
      <c r="Q58" s="384"/>
      <c r="R58" s="384"/>
      <c r="S58" s="384"/>
      <c r="T58" s="384"/>
      <c r="U58" s="384"/>
      <c r="V58" s="384"/>
      <c r="W58" s="384"/>
      <c r="X58" s="384"/>
      <c r="Y58" s="384"/>
      <c r="Z58" s="384"/>
      <c r="AA58" s="384"/>
      <c r="AB58" s="384"/>
      <c r="AC58" s="384"/>
      <c r="AD58" s="384"/>
      <c r="AE58" s="384"/>
      <c r="AF58" s="384"/>
      <c r="AG58" s="384"/>
      <c r="AH58" s="384"/>
      <c r="AI58" s="384"/>
      <c r="AJ58" s="115"/>
    </row>
    <row r="59" spans="1:36" x14ac:dyDescent="0.2">
      <c r="A59" s="384"/>
      <c r="B59" s="384"/>
      <c r="C59" s="384"/>
      <c r="D59" s="384"/>
      <c r="E59" s="384"/>
      <c r="F59" s="384"/>
      <c r="G59" s="384"/>
      <c r="H59" s="384"/>
      <c r="I59" s="384"/>
      <c r="J59" s="384"/>
      <c r="K59" s="384"/>
      <c r="L59" s="384"/>
      <c r="M59" s="384"/>
      <c r="N59" s="384"/>
      <c r="O59" s="384"/>
      <c r="P59" s="384"/>
      <c r="Q59" s="384"/>
      <c r="R59" s="384"/>
      <c r="S59" s="384"/>
      <c r="T59" s="384"/>
      <c r="U59" s="384"/>
      <c r="V59" s="384"/>
      <c r="W59" s="384"/>
      <c r="X59" s="384"/>
      <c r="Y59" s="384"/>
      <c r="Z59" s="384"/>
      <c r="AA59" s="384"/>
      <c r="AB59" s="384"/>
      <c r="AC59" s="384"/>
      <c r="AD59" s="384"/>
      <c r="AE59" s="384"/>
      <c r="AF59" s="384"/>
      <c r="AG59" s="384"/>
      <c r="AH59" s="384"/>
      <c r="AI59" s="384"/>
      <c r="AJ59" s="115"/>
    </row>
    <row r="60" spans="1:36" x14ac:dyDescent="0.2">
      <c r="A60" s="384"/>
      <c r="B60" s="384"/>
      <c r="C60" s="384"/>
      <c r="D60" s="384"/>
      <c r="E60" s="384"/>
      <c r="F60" s="384"/>
      <c r="G60" s="384"/>
      <c r="H60" s="384"/>
      <c r="I60" s="384"/>
      <c r="J60" s="384"/>
      <c r="K60" s="384"/>
      <c r="L60" s="384"/>
      <c r="M60" s="384"/>
      <c r="N60" s="384"/>
      <c r="O60" s="384"/>
      <c r="P60" s="384"/>
      <c r="Q60" s="384"/>
      <c r="R60" s="384"/>
      <c r="S60" s="384"/>
      <c r="T60" s="384"/>
      <c r="U60" s="384"/>
      <c r="V60" s="384"/>
      <c r="W60" s="384"/>
      <c r="X60" s="384"/>
      <c r="Y60" s="384"/>
      <c r="Z60" s="384"/>
      <c r="AA60" s="384"/>
      <c r="AB60" s="384"/>
      <c r="AC60" s="384"/>
      <c r="AD60" s="384"/>
      <c r="AE60" s="384"/>
      <c r="AF60" s="384"/>
      <c r="AG60" s="384"/>
      <c r="AH60" s="384"/>
      <c r="AI60" s="384"/>
      <c r="AJ60" s="115"/>
    </row>
    <row r="61" spans="1:36" x14ac:dyDescent="0.2">
      <c r="A61" s="384"/>
      <c r="B61" s="384"/>
      <c r="C61" s="384"/>
      <c r="D61" s="384"/>
      <c r="E61" s="384"/>
      <c r="F61" s="384"/>
      <c r="G61" s="384"/>
      <c r="H61" s="384"/>
      <c r="I61" s="384"/>
      <c r="J61" s="384"/>
      <c r="K61" s="384"/>
      <c r="L61" s="384"/>
      <c r="M61" s="384"/>
      <c r="N61" s="384"/>
      <c r="O61" s="384"/>
      <c r="P61" s="384"/>
      <c r="Q61" s="384"/>
      <c r="R61" s="384"/>
      <c r="S61" s="384"/>
      <c r="T61" s="384"/>
      <c r="U61" s="384"/>
      <c r="V61" s="384"/>
      <c r="W61" s="384"/>
      <c r="X61" s="384"/>
      <c r="Y61" s="384"/>
      <c r="Z61" s="384"/>
      <c r="AA61" s="384"/>
      <c r="AB61" s="384"/>
      <c r="AC61" s="384"/>
      <c r="AD61" s="384"/>
      <c r="AE61" s="384"/>
      <c r="AF61" s="384"/>
      <c r="AG61" s="384"/>
      <c r="AH61" s="384"/>
      <c r="AI61" s="384"/>
      <c r="AJ61" s="115"/>
    </row>
    <row r="62" spans="1:36" x14ac:dyDescent="0.2">
      <c r="A62" s="384"/>
      <c r="B62" s="384"/>
      <c r="C62" s="384"/>
      <c r="D62" s="384"/>
      <c r="E62" s="384"/>
      <c r="F62" s="384"/>
      <c r="G62" s="384"/>
      <c r="H62" s="384"/>
      <c r="I62" s="384"/>
      <c r="J62" s="384"/>
      <c r="K62" s="384"/>
      <c r="L62" s="384"/>
      <c r="M62" s="384"/>
      <c r="N62" s="384"/>
      <c r="O62" s="384"/>
      <c r="P62" s="384"/>
      <c r="Q62" s="384"/>
      <c r="R62" s="384"/>
      <c r="S62" s="384"/>
      <c r="T62" s="384"/>
      <c r="U62" s="384"/>
      <c r="V62" s="384"/>
      <c r="W62" s="384"/>
      <c r="X62" s="384"/>
      <c r="Y62" s="384"/>
      <c r="Z62" s="384"/>
      <c r="AA62" s="384"/>
      <c r="AB62" s="384"/>
      <c r="AC62" s="384"/>
      <c r="AD62" s="384"/>
      <c r="AE62" s="384"/>
      <c r="AF62" s="384"/>
      <c r="AG62" s="384"/>
      <c r="AH62" s="384"/>
      <c r="AI62" s="384"/>
      <c r="AJ62" s="115"/>
    </row>
    <row r="63" spans="1:36" x14ac:dyDescent="0.2">
      <c r="A63" s="384"/>
      <c r="B63" s="384"/>
      <c r="C63" s="384"/>
      <c r="D63" s="384"/>
      <c r="E63" s="384"/>
      <c r="F63" s="384"/>
      <c r="G63" s="384"/>
      <c r="H63" s="384"/>
      <c r="I63" s="384"/>
      <c r="J63" s="384"/>
      <c r="K63" s="384"/>
      <c r="L63" s="384"/>
      <c r="M63" s="384"/>
      <c r="N63" s="384"/>
      <c r="O63" s="384"/>
      <c r="P63" s="384"/>
      <c r="Q63" s="384"/>
      <c r="R63" s="384"/>
      <c r="S63" s="384"/>
      <c r="T63" s="384"/>
      <c r="U63" s="384"/>
      <c r="V63" s="384"/>
      <c r="W63" s="384"/>
      <c r="X63" s="384"/>
      <c r="Y63" s="384"/>
      <c r="Z63" s="384"/>
      <c r="AA63" s="384"/>
      <c r="AB63" s="384"/>
      <c r="AC63" s="384"/>
      <c r="AD63" s="384"/>
      <c r="AE63" s="384"/>
      <c r="AF63" s="384"/>
      <c r="AG63" s="384"/>
      <c r="AH63" s="384"/>
      <c r="AI63" s="384"/>
      <c r="AJ63" s="115"/>
    </row>
    <row r="64" spans="1:36" x14ac:dyDescent="0.2">
      <c r="A64" s="384"/>
      <c r="B64" s="384"/>
      <c r="C64" s="384"/>
      <c r="D64" s="384"/>
      <c r="E64" s="384"/>
      <c r="F64" s="384"/>
      <c r="G64" s="384"/>
      <c r="H64" s="384"/>
      <c r="I64" s="384"/>
      <c r="J64" s="384"/>
      <c r="K64" s="384"/>
      <c r="L64" s="384"/>
      <c r="M64" s="384"/>
      <c r="N64" s="384"/>
      <c r="O64" s="384"/>
      <c r="P64" s="384"/>
      <c r="Q64" s="384"/>
      <c r="R64" s="384"/>
      <c r="S64" s="384"/>
      <c r="T64" s="384"/>
      <c r="U64" s="384"/>
      <c r="V64" s="384"/>
      <c r="W64" s="384"/>
      <c r="X64" s="384"/>
      <c r="Y64" s="384"/>
      <c r="Z64" s="384"/>
      <c r="AA64" s="384"/>
      <c r="AB64" s="384"/>
      <c r="AC64" s="384"/>
      <c r="AD64" s="384"/>
      <c r="AE64" s="384"/>
      <c r="AF64" s="384"/>
      <c r="AG64" s="384"/>
      <c r="AH64" s="384"/>
      <c r="AI64" s="384"/>
      <c r="AJ64" s="115"/>
    </row>
    <row r="65" spans="1:36" x14ac:dyDescent="0.2">
      <c r="A65" s="384"/>
      <c r="B65" s="384"/>
      <c r="C65" s="384"/>
      <c r="D65" s="384"/>
      <c r="E65" s="384"/>
      <c r="F65" s="384"/>
      <c r="G65" s="384"/>
      <c r="H65" s="384"/>
      <c r="I65" s="384"/>
      <c r="J65" s="384"/>
      <c r="K65" s="384"/>
      <c r="L65" s="384"/>
      <c r="M65" s="384"/>
      <c r="N65" s="384"/>
      <c r="O65" s="384"/>
      <c r="P65" s="384"/>
      <c r="Q65" s="384"/>
      <c r="R65" s="384"/>
      <c r="S65" s="384"/>
      <c r="T65" s="384"/>
      <c r="U65" s="384"/>
      <c r="V65" s="384"/>
      <c r="W65" s="384"/>
      <c r="X65" s="384"/>
      <c r="Y65" s="384"/>
      <c r="Z65" s="384"/>
      <c r="AA65" s="384"/>
      <c r="AB65" s="384"/>
      <c r="AC65" s="384"/>
      <c r="AD65" s="384"/>
      <c r="AE65" s="384"/>
      <c r="AF65" s="384"/>
      <c r="AG65" s="384"/>
      <c r="AH65" s="384"/>
      <c r="AI65" s="384"/>
      <c r="AJ65" s="115"/>
    </row>
    <row r="66" spans="1:36" x14ac:dyDescent="0.2">
      <c r="A66" s="384"/>
      <c r="B66" s="384"/>
      <c r="C66" s="384"/>
      <c r="D66" s="384"/>
      <c r="E66" s="384"/>
      <c r="F66" s="384"/>
      <c r="G66" s="384"/>
      <c r="H66" s="384"/>
      <c r="I66" s="384"/>
      <c r="J66" s="384"/>
      <c r="K66" s="384"/>
      <c r="L66" s="384"/>
      <c r="M66" s="384"/>
      <c r="N66" s="384"/>
      <c r="O66" s="384"/>
      <c r="P66" s="384"/>
      <c r="Q66" s="384"/>
      <c r="R66" s="384"/>
      <c r="S66" s="384"/>
      <c r="T66" s="384"/>
      <c r="U66" s="384"/>
      <c r="V66" s="384"/>
      <c r="W66" s="384"/>
      <c r="X66" s="384"/>
      <c r="Y66" s="384"/>
      <c r="Z66" s="384"/>
      <c r="AA66" s="384"/>
      <c r="AB66" s="384"/>
      <c r="AC66" s="384"/>
      <c r="AD66" s="384"/>
      <c r="AE66" s="384"/>
      <c r="AF66" s="384"/>
      <c r="AG66" s="384"/>
      <c r="AH66" s="384"/>
      <c r="AI66" s="384"/>
      <c r="AJ66" s="115"/>
    </row>
    <row r="67" spans="1:36" x14ac:dyDescent="0.2">
      <c r="A67" s="384"/>
      <c r="B67" s="384"/>
      <c r="C67" s="384"/>
      <c r="D67" s="384"/>
      <c r="E67" s="384"/>
      <c r="F67" s="384"/>
      <c r="G67" s="384"/>
      <c r="H67" s="384"/>
      <c r="I67" s="384"/>
      <c r="J67" s="384"/>
      <c r="K67" s="384"/>
      <c r="L67" s="384"/>
      <c r="M67" s="384"/>
      <c r="N67" s="384"/>
      <c r="O67" s="384"/>
      <c r="P67" s="384"/>
      <c r="Q67" s="384"/>
      <c r="R67" s="384"/>
      <c r="S67" s="384"/>
      <c r="T67" s="384"/>
      <c r="U67" s="384"/>
      <c r="V67" s="384"/>
      <c r="W67" s="384"/>
      <c r="X67" s="384"/>
      <c r="Y67" s="384"/>
      <c r="Z67" s="384"/>
      <c r="AA67" s="384"/>
      <c r="AB67" s="384"/>
      <c r="AC67" s="384"/>
      <c r="AD67" s="384"/>
      <c r="AE67" s="384"/>
      <c r="AF67" s="384"/>
      <c r="AG67" s="384"/>
      <c r="AH67" s="384"/>
      <c r="AI67" s="384"/>
      <c r="AJ67" s="115"/>
    </row>
    <row r="68" spans="1:36" x14ac:dyDescent="0.2">
      <c r="A68" s="384"/>
      <c r="B68" s="384"/>
      <c r="C68" s="384"/>
      <c r="D68" s="384"/>
      <c r="E68" s="384"/>
      <c r="F68" s="384"/>
      <c r="G68" s="384"/>
      <c r="H68" s="384"/>
      <c r="I68" s="384"/>
      <c r="J68" s="384"/>
      <c r="K68" s="384"/>
      <c r="L68" s="384"/>
      <c r="M68" s="384"/>
      <c r="N68" s="384"/>
      <c r="O68" s="384"/>
      <c r="P68" s="384"/>
      <c r="Q68" s="384"/>
      <c r="R68" s="384"/>
      <c r="S68" s="384"/>
      <c r="T68" s="384"/>
      <c r="U68" s="384"/>
      <c r="V68" s="384"/>
      <c r="W68" s="384"/>
      <c r="X68" s="384"/>
      <c r="Y68" s="384"/>
      <c r="Z68" s="384"/>
      <c r="AA68" s="384"/>
      <c r="AB68" s="384"/>
      <c r="AC68" s="384"/>
      <c r="AD68" s="384"/>
      <c r="AE68" s="384"/>
      <c r="AF68" s="384"/>
      <c r="AG68" s="384"/>
      <c r="AH68" s="384"/>
      <c r="AI68" s="384"/>
      <c r="AJ68" s="115"/>
    </row>
    <row r="69" spans="1:36" x14ac:dyDescent="0.2">
      <c r="A69" s="384"/>
      <c r="B69" s="384"/>
      <c r="C69" s="384"/>
      <c r="D69" s="384"/>
      <c r="E69" s="384"/>
      <c r="F69" s="384"/>
      <c r="G69" s="384"/>
      <c r="H69" s="384"/>
      <c r="I69" s="384"/>
      <c r="J69" s="384"/>
      <c r="K69" s="384"/>
      <c r="L69" s="384"/>
      <c r="M69" s="384"/>
      <c r="N69" s="384"/>
      <c r="O69" s="384"/>
      <c r="P69" s="384"/>
      <c r="Q69" s="384"/>
      <c r="R69" s="384"/>
      <c r="S69" s="384"/>
      <c r="T69" s="384"/>
      <c r="U69" s="384"/>
      <c r="V69" s="384"/>
      <c r="W69" s="384"/>
      <c r="X69" s="384"/>
      <c r="Y69" s="384"/>
      <c r="Z69" s="384"/>
      <c r="AA69" s="384"/>
      <c r="AB69" s="384"/>
      <c r="AC69" s="384"/>
      <c r="AD69" s="384"/>
      <c r="AE69" s="384"/>
      <c r="AF69" s="384"/>
      <c r="AG69" s="384"/>
      <c r="AH69" s="384"/>
      <c r="AI69" s="384"/>
      <c r="AJ69" s="115"/>
    </row>
    <row r="70" spans="1:36" x14ac:dyDescent="0.2">
      <c r="A70" s="384"/>
      <c r="B70" s="384"/>
      <c r="C70" s="384"/>
      <c r="D70" s="384"/>
      <c r="E70" s="384"/>
      <c r="F70" s="384"/>
      <c r="G70" s="384"/>
      <c r="H70" s="384"/>
      <c r="I70" s="384"/>
      <c r="J70" s="384"/>
      <c r="K70" s="384"/>
      <c r="L70" s="384"/>
      <c r="M70" s="384"/>
      <c r="N70" s="384"/>
      <c r="O70" s="384"/>
      <c r="P70" s="384"/>
      <c r="Q70" s="384"/>
      <c r="R70" s="384"/>
      <c r="S70" s="384"/>
      <c r="T70" s="384"/>
      <c r="U70" s="384"/>
      <c r="V70" s="384"/>
      <c r="W70" s="384"/>
      <c r="X70" s="384"/>
      <c r="Y70" s="384"/>
      <c r="Z70" s="384"/>
      <c r="AA70" s="384"/>
      <c r="AB70" s="384"/>
      <c r="AC70" s="384"/>
      <c r="AD70" s="384"/>
      <c r="AE70" s="384"/>
      <c r="AF70" s="384"/>
      <c r="AG70" s="384"/>
      <c r="AH70" s="384"/>
      <c r="AI70" s="384"/>
      <c r="AJ70" s="115"/>
    </row>
    <row r="71" spans="1:36" x14ac:dyDescent="0.2">
      <c r="A71" s="384"/>
      <c r="B71" s="384"/>
      <c r="C71" s="384"/>
      <c r="D71" s="384"/>
      <c r="E71" s="384"/>
      <c r="F71" s="384"/>
      <c r="G71" s="384"/>
      <c r="H71" s="384"/>
      <c r="I71" s="384"/>
      <c r="J71" s="384"/>
      <c r="K71" s="384"/>
      <c r="L71" s="384"/>
      <c r="M71" s="384"/>
      <c r="N71" s="384"/>
      <c r="O71" s="384"/>
      <c r="P71" s="384"/>
      <c r="Q71" s="384"/>
      <c r="R71" s="384"/>
      <c r="S71" s="384"/>
      <c r="T71" s="384"/>
      <c r="U71" s="384"/>
      <c r="V71" s="384"/>
      <c r="W71" s="384"/>
      <c r="X71" s="384"/>
      <c r="Y71" s="384"/>
      <c r="Z71" s="384"/>
      <c r="AA71" s="384"/>
      <c r="AB71" s="384"/>
      <c r="AC71" s="384"/>
      <c r="AD71" s="384"/>
      <c r="AE71" s="384"/>
      <c r="AF71" s="384"/>
      <c r="AG71" s="384"/>
      <c r="AH71" s="384"/>
      <c r="AI71" s="384"/>
      <c r="AJ71" s="115"/>
    </row>
    <row r="72" spans="1:36" x14ac:dyDescent="0.2">
      <c r="A72" s="384"/>
      <c r="B72" s="384"/>
      <c r="C72" s="384"/>
      <c r="D72" s="384"/>
      <c r="E72" s="384"/>
      <c r="F72" s="384"/>
      <c r="G72" s="384"/>
      <c r="H72" s="384"/>
      <c r="I72" s="384"/>
      <c r="J72" s="384"/>
      <c r="K72" s="384"/>
      <c r="L72" s="384"/>
      <c r="M72" s="384"/>
      <c r="N72" s="384"/>
      <c r="O72" s="384"/>
      <c r="P72" s="384"/>
      <c r="Q72" s="384"/>
      <c r="R72" s="384"/>
      <c r="S72" s="384"/>
      <c r="T72" s="384"/>
      <c r="U72" s="384"/>
      <c r="V72" s="384"/>
      <c r="W72" s="384"/>
      <c r="X72" s="384"/>
      <c r="Y72" s="384"/>
      <c r="Z72" s="384"/>
      <c r="AA72" s="384"/>
      <c r="AB72" s="384"/>
      <c r="AC72" s="384"/>
      <c r="AD72" s="384"/>
      <c r="AE72" s="384"/>
      <c r="AF72" s="384"/>
      <c r="AG72" s="384"/>
      <c r="AH72" s="384"/>
      <c r="AI72" s="384"/>
      <c r="AJ72" s="115"/>
    </row>
    <row r="73" spans="1:36" x14ac:dyDescent="0.2">
      <c r="A73" s="384"/>
      <c r="B73" s="384"/>
      <c r="C73" s="384"/>
      <c r="D73" s="384"/>
      <c r="E73" s="384"/>
      <c r="F73" s="384"/>
      <c r="G73" s="384"/>
      <c r="H73" s="384"/>
      <c r="I73" s="384"/>
      <c r="J73" s="384"/>
      <c r="K73" s="384"/>
      <c r="L73" s="384"/>
      <c r="M73" s="384"/>
      <c r="N73" s="384"/>
      <c r="O73" s="384"/>
      <c r="P73" s="384"/>
      <c r="Q73" s="384"/>
      <c r="R73" s="384"/>
      <c r="S73" s="384"/>
      <c r="T73" s="384"/>
      <c r="U73" s="384"/>
      <c r="V73" s="384"/>
      <c r="W73" s="384"/>
      <c r="X73" s="384"/>
      <c r="Y73" s="384"/>
      <c r="Z73" s="384"/>
      <c r="AA73" s="384"/>
      <c r="AB73" s="384"/>
      <c r="AC73" s="384"/>
      <c r="AD73" s="384"/>
      <c r="AE73" s="384"/>
      <c r="AF73" s="384"/>
      <c r="AG73" s="384"/>
      <c r="AH73" s="384"/>
      <c r="AI73" s="384"/>
      <c r="AJ73" s="115"/>
    </row>
    <row r="74" spans="1:36" x14ac:dyDescent="0.2">
      <c r="A74" s="384"/>
      <c r="B74" s="384"/>
      <c r="C74" s="384"/>
      <c r="D74" s="384"/>
      <c r="E74" s="384"/>
      <c r="F74" s="384"/>
      <c r="G74" s="384"/>
      <c r="H74" s="384"/>
      <c r="I74" s="384"/>
      <c r="J74" s="384"/>
      <c r="K74" s="384"/>
      <c r="L74" s="384"/>
      <c r="M74" s="384"/>
      <c r="N74" s="384"/>
      <c r="O74" s="384"/>
      <c r="P74" s="384"/>
      <c r="Q74" s="384"/>
      <c r="R74" s="384"/>
      <c r="S74" s="384"/>
      <c r="T74" s="384"/>
      <c r="U74" s="384"/>
      <c r="V74" s="384"/>
      <c r="W74" s="384"/>
      <c r="X74" s="384"/>
      <c r="Y74" s="384"/>
      <c r="Z74" s="384"/>
      <c r="AA74" s="384"/>
      <c r="AB74" s="384"/>
      <c r="AC74" s="384"/>
      <c r="AD74" s="384"/>
      <c r="AE74" s="384"/>
      <c r="AF74" s="384"/>
      <c r="AG74" s="384"/>
      <c r="AH74" s="384"/>
      <c r="AI74" s="384"/>
      <c r="AJ74" s="115"/>
    </row>
    <row r="75" spans="1:36" x14ac:dyDescent="0.2">
      <c r="A75" s="384"/>
      <c r="B75" s="384"/>
      <c r="C75" s="384"/>
      <c r="D75" s="384"/>
      <c r="E75" s="384"/>
      <c r="F75" s="384"/>
      <c r="G75" s="384"/>
      <c r="H75" s="384"/>
      <c r="I75" s="384"/>
      <c r="J75" s="384"/>
      <c r="K75" s="384"/>
      <c r="L75" s="384"/>
      <c r="M75" s="384"/>
      <c r="N75" s="384"/>
      <c r="O75" s="384"/>
      <c r="P75" s="384"/>
      <c r="Q75" s="384"/>
      <c r="R75" s="384"/>
      <c r="S75" s="384"/>
      <c r="T75" s="384"/>
      <c r="U75" s="384"/>
      <c r="V75" s="384"/>
      <c r="W75" s="384"/>
      <c r="X75" s="384"/>
      <c r="Y75" s="384"/>
      <c r="Z75" s="384"/>
      <c r="AA75" s="384"/>
      <c r="AB75" s="384"/>
      <c r="AC75" s="384"/>
      <c r="AD75" s="384"/>
      <c r="AE75" s="384"/>
      <c r="AF75" s="384"/>
      <c r="AG75" s="384"/>
      <c r="AH75" s="384"/>
      <c r="AI75" s="384"/>
      <c r="AJ75" s="115"/>
    </row>
    <row r="76" spans="1:36" x14ac:dyDescent="0.2">
      <c r="A76" s="384"/>
      <c r="B76" s="384"/>
      <c r="C76" s="384"/>
      <c r="D76" s="384"/>
      <c r="E76" s="384"/>
      <c r="F76" s="384"/>
      <c r="G76" s="384"/>
      <c r="H76" s="384"/>
      <c r="I76" s="384"/>
      <c r="J76" s="384"/>
      <c r="K76" s="384"/>
      <c r="L76" s="384"/>
      <c r="M76" s="384"/>
      <c r="N76" s="384"/>
      <c r="O76" s="384"/>
      <c r="P76" s="384"/>
      <c r="Q76" s="384"/>
      <c r="R76" s="384"/>
      <c r="S76" s="384"/>
      <c r="T76" s="384"/>
      <c r="U76" s="384"/>
      <c r="V76" s="384"/>
      <c r="W76" s="384"/>
      <c r="X76" s="384"/>
      <c r="Y76" s="384"/>
      <c r="Z76" s="384"/>
      <c r="AA76" s="384"/>
      <c r="AB76" s="384"/>
      <c r="AC76" s="384"/>
      <c r="AD76" s="384"/>
      <c r="AE76" s="384"/>
      <c r="AF76" s="384"/>
      <c r="AG76" s="384"/>
      <c r="AH76" s="384"/>
      <c r="AI76" s="384"/>
      <c r="AJ76" s="115"/>
    </row>
    <row r="77" spans="1:36" x14ac:dyDescent="0.2">
      <c r="A77" s="384"/>
      <c r="B77" s="384"/>
      <c r="C77" s="384"/>
      <c r="D77" s="384"/>
      <c r="E77" s="384"/>
      <c r="F77" s="384"/>
      <c r="G77" s="384"/>
      <c r="H77" s="384"/>
      <c r="I77" s="384"/>
      <c r="J77" s="384"/>
      <c r="K77" s="384"/>
      <c r="L77" s="384"/>
      <c r="M77" s="384"/>
      <c r="N77" s="384"/>
      <c r="O77" s="384"/>
      <c r="P77" s="384"/>
      <c r="Q77" s="384"/>
      <c r="R77" s="384"/>
      <c r="S77" s="384"/>
      <c r="T77" s="384"/>
      <c r="U77" s="384"/>
      <c r="V77" s="384"/>
      <c r="W77" s="384"/>
      <c r="X77" s="384"/>
      <c r="Y77" s="384"/>
      <c r="Z77" s="384"/>
      <c r="AA77" s="384"/>
      <c r="AB77" s="384"/>
      <c r="AC77" s="384"/>
      <c r="AD77" s="384"/>
      <c r="AE77" s="384"/>
      <c r="AF77" s="384"/>
      <c r="AG77" s="384"/>
      <c r="AH77" s="384"/>
      <c r="AI77" s="384"/>
      <c r="AJ77" s="115"/>
    </row>
    <row r="78" spans="1:36" x14ac:dyDescent="0.2">
      <c r="A78" s="384"/>
      <c r="B78" s="384"/>
      <c r="C78" s="384"/>
      <c r="D78" s="384"/>
      <c r="E78" s="384"/>
      <c r="F78" s="384"/>
      <c r="G78" s="384"/>
      <c r="H78" s="384"/>
      <c r="I78" s="384"/>
      <c r="J78" s="384"/>
      <c r="K78" s="384"/>
      <c r="L78" s="384"/>
      <c r="M78" s="384"/>
      <c r="N78" s="384"/>
      <c r="O78" s="384"/>
      <c r="P78" s="384"/>
      <c r="Q78" s="384"/>
      <c r="R78" s="384"/>
      <c r="S78" s="384"/>
      <c r="T78" s="384"/>
      <c r="U78" s="384"/>
      <c r="V78" s="384"/>
      <c r="W78" s="384"/>
      <c r="X78" s="384"/>
      <c r="Y78" s="384"/>
      <c r="Z78" s="384"/>
      <c r="AA78" s="384"/>
      <c r="AB78" s="384"/>
      <c r="AC78" s="384"/>
      <c r="AD78" s="384"/>
      <c r="AE78" s="384"/>
      <c r="AF78" s="384"/>
      <c r="AG78" s="384"/>
      <c r="AH78" s="384"/>
      <c r="AI78" s="384"/>
      <c r="AJ78" s="115"/>
    </row>
    <row r="79" spans="1:36" x14ac:dyDescent="0.2">
      <c r="A79" s="384"/>
      <c r="B79" s="384"/>
      <c r="C79" s="384"/>
      <c r="D79" s="384"/>
      <c r="E79" s="384"/>
      <c r="F79" s="384"/>
      <c r="G79" s="384"/>
      <c r="H79" s="384"/>
      <c r="I79" s="384"/>
      <c r="J79" s="384"/>
      <c r="K79" s="384"/>
      <c r="L79" s="384"/>
      <c r="M79" s="384"/>
      <c r="N79" s="384"/>
      <c r="O79" s="384"/>
      <c r="P79" s="384"/>
      <c r="Q79" s="384"/>
      <c r="R79" s="384"/>
      <c r="S79" s="384"/>
      <c r="T79" s="384"/>
      <c r="U79" s="384"/>
      <c r="V79" s="384"/>
      <c r="W79" s="384"/>
      <c r="X79" s="384"/>
      <c r="Y79" s="384"/>
      <c r="Z79" s="384"/>
      <c r="AA79" s="384"/>
      <c r="AB79" s="384"/>
      <c r="AC79" s="384"/>
      <c r="AD79" s="384"/>
      <c r="AE79" s="384"/>
      <c r="AF79" s="384"/>
      <c r="AG79" s="384"/>
      <c r="AH79" s="384"/>
      <c r="AI79" s="384"/>
      <c r="AJ79" s="115"/>
    </row>
    <row r="80" spans="1:36" x14ac:dyDescent="0.2">
      <c r="A80" s="384"/>
      <c r="B80" s="384"/>
      <c r="C80" s="384"/>
      <c r="D80" s="384"/>
      <c r="E80" s="384"/>
      <c r="F80" s="384"/>
      <c r="G80" s="384"/>
      <c r="H80" s="384"/>
      <c r="I80" s="384"/>
      <c r="J80" s="384"/>
      <c r="K80" s="384"/>
      <c r="L80" s="384"/>
      <c r="M80" s="384"/>
      <c r="N80" s="384"/>
      <c r="O80" s="384"/>
      <c r="P80" s="384"/>
      <c r="Q80" s="384"/>
      <c r="R80" s="384"/>
      <c r="S80" s="384"/>
      <c r="T80" s="384"/>
      <c r="U80" s="384"/>
      <c r="V80" s="384"/>
      <c r="W80" s="384"/>
      <c r="X80" s="384"/>
      <c r="Y80" s="384"/>
      <c r="Z80" s="384"/>
      <c r="AA80" s="384"/>
      <c r="AB80" s="384"/>
      <c r="AC80" s="384"/>
      <c r="AD80" s="384"/>
      <c r="AE80" s="384"/>
      <c r="AF80" s="384"/>
      <c r="AG80" s="384"/>
      <c r="AH80" s="384"/>
      <c r="AI80" s="384"/>
      <c r="AJ80" s="115"/>
    </row>
    <row r="81" spans="1:36" x14ac:dyDescent="0.2">
      <c r="A81" s="384"/>
      <c r="B81" s="384"/>
      <c r="C81" s="384"/>
      <c r="D81" s="384"/>
      <c r="E81" s="384"/>
      <c r="F81" s="384"/>
      <c r="G81" s="384"/>
      <c r="H81" s="384"/>
      <c r="I81" s="384"/>
      <c r="J81" s="384"/>
      <c r="K81" s="384"/>
      <c r="L81" s="384"/>
      <c r="M81" s="384"/>
      <c r="N81" s="384"/>
      <c r="O81" s="384"/>
      <c r="P81" s="384"/>
      <c r="Q81" s="384"/>
      <c r="R81" s="384"/>
      <c r="S81" s="384"/>
      <c r="T81" s="384"/>
      <c r="U81" s="384"/>
      <c r="V81" s="384"/>
      <c r="W81" s="384"/>
      <c r="X81" s="384"/>
      <c r="Y81" s="384"/>
      <c r="Z81" s="384"/>
      <c r="AA81" s="384"/>
      <c r="AB81" s="384"/>
      <c r="AC81" s="384"/>
      <c r="AD81" s="384"/>
      <c r="AE81" s="384"/>
      <c r="AF81" s="384"/>
      <c r="AG81" s="384"/>
      <c r="AH81" s="384"/>
      <c r="AI81" s="384"/>
      <c r="AJ81" s="115"/>
    </row>
    <row r="82" spans="1:36" x14ac:dyDescent="0.2">
      <c r="A82" s="384"/>
      <c r="B82" s="384"/>
      <c r="C82" s="384"/>
      <c r="D82" s="384"/>
      <c r="E82" s="384"/>
      <c r="F82" s="384"/>
      <c r="G82" s="384"/>
      <c r="H82" s="384"/>
      <c r="I82" s="384"/>
      <c r="J82" s="384"/>
      <c r="K82" s="384"/>
      <c r="L82" s="384"/>
      <c r="M82" s="384"/>
      <c r="N82" s="384"/>
      <c r="O82" s="384"/>
      <c r="P82" s="384"/>
      <c r="Q82" s="384"/>
      <c r="R82" s="384"/>
      <c r="S82" s="384"/>
      <c r="T82" s="384"/>
      <c r="U82" s="384"/>
      <c r="V82" s="384"/>
      <c r="W82" s="384"/>
      <c r="X82" s="384"/>
      <c r="Y82" s="384"/>
      <c r="Z82" s="384"/>
      <c r="AA82" s="384"/>
      <c r="AB82" s="384"/>
      <c r="AC82" s="384"/>
      <c r="AD82" s="384"/>
      <c r="AE82" s="384"/>
      <c r="AF82" s="384"/>
      <c r="AG82" s="384"/>
      <c r="AH82" s="384"/>
      <c r="AI82" s="384"/>
      <c r="AJ82" s="115"/>
    </row>
    <row r="83" spans="1:36" x14ac:dyDescent="0.2">
      <c r="A83" s="384"/>
      <c r="B83" s="384"/>
      <c r="C83" s="384"/>
      <c r="D83" s="384"/>
      <c r="E83" s="384"/>
      <c r="F83" s="384"/>
      <c r="G83" s="384"/>
      <c r="H83" s="384"/>
      <c r="I83" s="384"/>
      <c r="J83" s="384"/>
      <c r="K83" s="384"/>
      <c r="L83" s="384"/>
      <c r="M83" s="384"/>
      <c r="N83" s="384"/>
      <c r="O83" s="384"/>
      <c r="P83" s="384"/>
      <c r="Q83" s="384"/>
      <c r="R83" s="384"/>
      <c r="S83" s="384"/>
      <c r="T83" s="384"/>
      <c r="U83" s="384"/>
      <c r="V83" s="384"/>
      <c r="W83" s="384"/>
      <c r="X83" s="384"/>
      <c r="Y83" s="384"/>
      <c r="Z83" s="384"/>
      <c r="AA83" s="384"/>
      <c r="AB83" s="384"/>
      <c r="AC83" s="384"/>
      <c r="AD83" s="384"/>
      <c r="AE83" s="384"/>
      <c r="AF83" s="384"/>
      <c r="AG83" s="384"/>
      <c r="AH83" s="384"/>
      <c r="AI83" s="384"/>
      <c r="AJ83" s="115"/>
    </row>
    <row r="84" spans="1:36" x14ac:dyDescent="0.2">
      <c r="A84" s="384"/>
      <c r="B84" s="384"/>
      <c r="C84" s="384"/>
      <c r="D84" s="384"/>
      <c r="E84" s="384"/>
      <c r="F84" s="384"/>
      <c r="G84" s="384"/>
      <c r="H84" s="384"/>
      <c r="I84" s="384"/>
      <c r="J84" s="384"/>
      <c r="K84" s="384"/>
      <c r="L84" s="384"/>
      <c r="M84" s="384"/>
      <c r="N84" s="384"/>
      <c r="O84" s="384"/>
      <c r="P84" s="384"/>
      <c r="Q84" s="384"/>
      <c r="R84" s="384"/>
      <c r="S84" s="384"/>
      <c r="T84" s="384"/>
      <c r="U84" s="384"/>
      <c r="V84" s="384"/>
      <c r="W84" s="384"/>
      <c r="X84" s="384"/>
      <c r="Y84" s="384"/>
      <c r="Z84" s="384"/>
      <c r="AA84" s="384"/>
      <c r="AB84" s="384"/>
      <c r="AC84" s="384"/>
      <c r="AD84" s="384"/>
      <c r="AE84" s="384"/>
      <c r="AF84" s="384"/>
      <c r="AG84" s="384"/>
      <c r="AH84" s="384"/>
      <c r="AI84" s="384"/>
      <c r="AJ84" s="115"/>
    </row>
    <row r="85" spans="1:36" x14ac:dyDescent="0.2">
      <c r="A85" s="384"/>
      <c r="B85" s="384"/>
      <c r="C85" s="384"/>
      <c r="D85" s="384"/>
      <c r="E85" s="384"/>
      <c r="F85" s="384"/>
      <c r="G85" s="384"/>
      <c r="H85" s="384"/>
      <c r="I85" s="384"/>
      <c r="J85" s="384"/>
      <c r="K85" s="384"/>
      <c r="L85" s="384"/>
      <c r="M85" s="384"/>
      <c r="N85" s="384"/>
      <c r="O85" s="384"/>
      <c r="P85" s="384"/>
      <c r="Q85" s="384"/>
      <c r="R85" s="384"/>
      <c r="S85" s="384"/>
      <c r="T85" s="384"/>
      <c r="U85" s="384"/>
      <c r="V85" s="384"/>
      <c r="W85" s="384"/>
      <c r="X85" s="384"/>
      <c r="Y85" s="384"/>
      <c r="Z85" s="384"/>
      <c r="AA85" s="384"/>
      <c r="AB85" s="384"/>
      <c r="AC85" s="384"/>
      <c r="AD85" s="384"/>
      <c r="AE85" s="384"/>
      <c r="AF85" s="384"/>
      <c r="AG85" s="384"/>
      <c r="AH85" s="384"/>
      <c r="AI85" s="384"/>
      <c r="AJ85" s="115"/>
    </row>
    <row r="86" spans="1:36" x14ac:dyDescent="0.2">
      <c r="A86" s="384"/>
      <c r="B86" s="384"/>
      <c r="C86" s="384"/>
      <c r="D86" s="384"/>
      <c r="E86" s="384"/>
      <c r="F86" s="384"/>
      <c r="G86" s="384"/>
      <c r="H86" s="384"/>
      <c r="I86" s="384"/>
      <c r="J86" s="384"/>
      <c r="K86" s="384"/>
      <c r="L86" s="384"/>
      <c r="M86" s="384"/>
      <c r="N86" s="384"/>
      <c r="O86" s="384"/>
      <c r="P86" s="384"/>
      <c r="Q86" s="384"/>
      <c r="R86" s="384"/>
      <c r="S86" s="384"/>
      <c r="T86" s="384"/>
      <c r="U86" s="384"/>
      <c r="V86" s="384"/>
      <c r="W86" s="384"/>
      <c r="X86" s="384"/>
      <c r="Y86" s="384"/>
      <c r="Z86" s="384"/>
      <c r="AA86" s="384"/>
      <c r="AB86" s="384"/>
      <c r="AC86" s="384"/>
      <c r="AD86" s="384"/>
      <c r="AE86" s="384"/>
      <c r="AF86" s="384"/>
      <c r="AG86" s="384"/>
      <c r="AH86" s="384"/>
      <c r="AI86" s="384"/>
      <c r="AJ86" s="115"/>
    </row>
    <row r="87" spans="1:36" x14ac:dyDescent="0.2">
      <c r="A87" s="384"/>
      <c r="B87" s="384"/>
      <c r="C87" s="384"/>
      <c r="D87" s="384"/>
      <c r="E87" s="384"/>
      <c r="F87" s="384"/>
      <c r="G87" s="384"/>
      <c r="H87" s="384"/>
      <c r="I87" s="384"/>
      <c r="J87" s="384"/>
      <c r="K87" s="384"/>
      <c r="L87" s="384"/>
      <c r="M87" s="384"/>
      <c r="N87" s="384"/>
      <c r="O87" s="384"/>
      <c r="P87" s="384"/>
      <c r="Q87" s="384"/>
      <c r="R87" s="384"/>
      <c r="S87" s="384"/>
      <c r="T87" s="384"/>
      <c r="U87" s="384"/>
      <c r="V87" s="384"/>
      <c r="W87" s="384"/>
      <c r="X87" s="384"/>
      <c r="Y87" s="384"/>
      <c r="Z87" s="384"/>
      <c r="AA87" s="384"/>
      <c r="AB87" s="384"/>
      <c r="AC87" s="384"/>
      <c r="AD87" s="384"/>
      <c r="AE87" s="384"/>
      <c r="AF87" s="384"/>
      <c r="AG87" s="384"/>
      <c r="AH87" s="384"/>
      <c r="AI87" s="384"/>
      <c r="AJ87" s="115"/>
    </row>
    <row r="88" spans="1:36" x14ac:dyDescent="0.2">
      <c r="A88" s="384"/>
      <c r="B88" s="384"/>
      <c r="C88" s="384"/>
      <c r="D88" s="384"/>
      <c r="E88" s="384"/>
      <c r="F88" s="384"/>
      <c r="G88" s="384"/>
      <c r="H88" s="384"/>
      <c r="I88" s="384"/>
      <c r="J88" s="384"/>
      <c r="K88" s="384"/>
      <c r="L88" s="384"/>
      <c r="M88" s="384"/>
      <c r="N88" s="384"/>
      <c r="O88" s="384"/>
      <c r="P88" s="384"/>
      <c r="Q88" s="384"/>
      <c r="R88" s="384"/>
      <c r="S88" s="384"/>
      <c r="T88" s="384"/>
      <c r="U88" s="384"/>
      <c r="V88" s="384"/>
      <c r="W88" s="384"/>
      <c r="X88" s="384"/>
      <c r="Y88" s="384"/>
      <c r="Z88" s="384"/>
      <c r="AA88" s="384"/>
      <c r="AB88" s="384"/>
      <c r="AC88" s="384"/>
      <c r="AD88" s="384"/>
      <c r="AE88" s="384"/>
      <c r="AF88" s="384"/>
      <c r="AG88" s="384"/>
      <c r="AH88" s="384"/>
      <c r="AI88" s="384"/>
      <c r="AJ88" s="115"/>
    </row>
    <row r="89" spans="1:36" x14ac:dyDescent="0.2">
      <c r="A89" s="384"/>
      <c r="B89" s="384"/>
      <c r="C89" s="384"/>
      <c r="D89" s="384"/>
      <c r="E89" s="384"/>
      <c r="F89" s="384"/>
      <c r="G89" s="384"/>
      <c r="H89" s="384"/>
      <c r="I89" s="384"/>
      <c r="J89" s="384"/>
      <c r="K89" s="384"/>
      <c r="L89" s="384"/>
      <c r="M89" s="384"/>
      <c r="N89" s="384"/>
      <c r="O89" s="384"/>
      <c r="P89" s="384"/>
      <c r="Q89" s="384"/>
      <c r="R89" s="384"/>
      <c r="S89" s="384"/>
      <c r="T89" s="384"/>
      <c r="U89" s="384"/>
      <c r="V89" s="384"/>
      <c r="W89" s="384"/>
      <c r="X89" s="384"/>
      <c r="Y89" s="384"/>
      <c r="Z89" s="384"/>
      <c r="AA89" s="384"/>
      <c r="AB89" s="384"/>
      <c r="AC89" s="384"/>
      <c r="AD89" s="384"/>
      <c r="AE89" s="384"/>
      <c r="AF89" s="384"/>
      <c r="AG89" s="384"/>
      <c r="AH89" s="384"/>
      <c r="AI89" s="384"/>
      <c r="AJ89" s="115"/>
    </row>
    <row r="90" spans="1:36" x14ac:dyDescent="0.2">
      <c r="A90" s="384"/>
      <c r="B90" s="384"/>
      <c r="C90" s="384"/>
      <c r="D90" s="384"/>
      <c r="E90" s="384"/>
      <c r="F90" s="384"/>
      <c r="G90" s="384"/>
      <c r="H90" s="384"/>
      <c r="I90" s="384"/>
      <c r="J90" s="384"/>
      <c r="K90" s="384"/>
      <c r="L90" s="384"/>
      <c r="M90" s="384"/>
      <c r="N90" s="384"/>
      <c r="O90" s="384"/>
      <c r="P90" s="384"/>
      <c r="Q90" s="384"/>
      <c r="R90" s="384"/>
      <c r="S90" s="384"/>
      <c r="T90" s="384"/>
      <c r="U90" s="384"/>
      <c r="V90" s="384"/>
      <c r="W90" s="384"/>
      <c r="X90" s="384"/>
      <c r="Y90" s="384"/>
      <c r="Z90" s="384"/>
      <c r="AA90" s="384"/>
      <c r="AB90" s="384"/>
      <c r="AC90" s="384"/>
      <c r="AD90" s="384"/>
      <c r="AE90" s="384"/>
      <c r="AF90" s="384"/>
      <c r="AG90" s="384"/>
      <c r="AH90" s="384"/>
      <c r="AI90" s="384"/>
      <c r="AJ90" s="115"/>
    </row>
    <row r="91" spans="1:36" x14ac:dyDescent="0.2">
      <c r="A91" s="120"/>
    </row>
  </sheetData>
  <sheetProtection algorithmName="SHA-512" hashValue="AuuaWPm0vMpHSfp/cI9ZW08Q+3eTNisdHQ7ERMRDFpkJyi/UAb//n07dgYUR7PWnUOdGP8/4EovE2WTkHIUF5g==" saltValue="RoTlt7DI1grjy00zaw3UdQ==" spinCount="100000" sheet="1" objects="1" scenarios="1"/>
  <mergeCells count="5">
    <mergeCell ref="N1:O1"/>
    <mergeCell ref="C2:O2"/>
    <mergeCell ref="I1:J1"/>
    <mergeCell ref="E1:H1"/>
    <mergeCell ref="K1:L1"/>
  </mergeCells>
  <phoneticPr fontId="0" type="noConversion"/>
  <dataValidations disablePrompts="1" count="1">
    <dataValidation type="list" allowBlank="1" showInputMessage="1" showErrorMessage="1" sqref="H4:J38" xr:uid="{00000000-0002-0000-0000-000000000000}">
      <formula1>"15,14,13,12,11,10,9,8,7,6,5,4,3,2,1,0"</formula1>
    </dataValidation>
  </dataValidations>
  <pageMargins left="0.53" right="0.17" top="0.28999999999999998" bottom="0.22" header="7.874015748031496E-2" footer="0.2"/>
  <pageSetup paperSize="9" scale="8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4">
    <tabColor indexed="34"/>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style="1"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27</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t="str">
        <f>IF('1. Halbjahr'!K1="","",'1. Halbjahr'!K1)</f>
        <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89" t="s">
        <v>66</v>
      </c>
      <c r="Q3" s="189"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3">
        <f>IF($H$32="M", $H$35+12*(100-$H$35)/12, $H$35+30*(100-$H$35)/30)</f>
        <v>100</v>
      </c>
      <c r="Q4" s="434">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3">
        <f>IF($H$32="M", $H$35+11*(100-$H$35)/12, $H$35+27*(100-$H$35)/30)</f>
        <v>95</v>
      </c>
      <c r="P5" s="55">
        <v>15</v>
      </c>
      <c r="Q5" s="434">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3">
        <f>IF($H$32="M", $H$35+10*(100-$H$35)/12, $H$35+24*(100-$H$35)/30)</f>
        <v>90</v>
      </c>
      <c r="P6" s="55">
        <v>14</v>
      </c>
      <c r="Q6" s="434">
        <f>(O6-100*SUM($A$43:A44)/$H$30)</f>
        <v>90</v>
      </c>
    </row>
    <row r="7" spans="1:18" x14ac:dyDescent="0.2">
      <c r="A7" s="3">
        <v>4</v>
      </c>
      <c r="B7" s="2" t="str">
        <f>IF('1. Halbjahr'!B7&lt;&gt;"", '1. Halbjahr'!B7, "")</f>
        <v/>
      </c>
      <c r="C7" s="37" t="str">
        <f t="shared" ca="1" si="1"/>
        <v/>
      </c>
      <c r="D7" s="5"/>
      <c r="E7" s="22"/>
      <c r="F7" s="48">
        <v>15</v>
      </c>
      <c r="G7" s="13">
        <f ca="1">IF(G$25="","",COUNTIF(C$4:C$38,F7))</f>
        <v>0</v>
      </c>
      <c r="H7" s="14" t="e">
        <f t="shared" ref="H7:H12" ca="1" si="3">IF(G$25="","",G7/G$25)</f>
        <v>#DIV/0!</v>
      </c>
      <c r="I7" s="1"/>
      <c r="J7" s="47" t="str">
        <f t="shared" si="0"/>
        <v/>
      </c>
      <c r="K7" s="26"/>
      <c r="M7" s="157" t="str">
        <f t="shared" si="2"/>
        <v/>
      </c>
      <c r="O7" s="433">
        <f>IF($H$32="M", $H$35+9*(100-$H$35)/12, $H$35+21*(100-$H$35)/30)</f>
        <v>85</v>
      </c>
      <c r="P7" s="55">
        <v>13</v>
      </c>
      <c r="Q7" s="434">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3">
        <f>IF($H$32="M", $H$35+8*(100-$H$35)/12, $H$35+18*(100-$H$35)/30)</f>
        <v>80</v>
      </c>
      <c r="P8" s="55">
        <v>12</v>
      </c>
      <c r="Q8" s="434">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3">
        <f>IF($H$32="M", $H$35+7*(100-$H$35)/12, $H$35+15*(100-$H$35)/30)</f>
        <v>75</v>
      </c>
      <c r="P9" s="55">
        <v>11</v>
      </c>
      <c r="Q9" s="434">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3">
        <f>IF($H$32="M", $H$35+6*(100-$H$35)/12, $H$35+12*(100-$H$35)/30)</f>
        <v>70</v>
      </c>
      <c r="P10" s="55">
        <v>10</v>
      </c>
      <c r="Q10" s="434">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3">
        <f>IF($H$32="M", $H$35+5*(100-$H$35)/12, $H$35+10*(100-$H$35)/30)</f>
        <v>65</v>
      </c>
      <c r="P11" s="55">
        <v>9</v>
      </c>
      <c r="Q11" s="434">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3">
        <f>IF($H$32="M", $H$35+4*(100-$H$35)/12, $H$35+8*(100-$H$35)/30)</f>
        <v>60</v>
      </c>
      <c r="P12" s="55">
        <v>8</v>
      </c>
      <c r="Q12" s="434">
        <f>(O12-100*SUM($A$43:A50)/$H$30)</f>
        <v>60</v>
      </c>
    </row>
    <row r="13" spans="1:18" x14ac:dyDescent="0.2">
      <c r="A13" s="3">
        <v>10</v>
      </c>
      <c r="B13" s="2" t="str">
        <f>IF('1. Halbjahr'!B13&lt;&gt;"", '1. Halbjahr'!B13, "")</f>
        <v/>
      </c>
      <c r="C13" s="37" t="str">
        <f t="shared" ca="1" si="1"/>
        <v/>
      </c>
      <c r="D13" s="5"/>
      <c r="E13" s="22"/>
      <c r="F13" s="19">
        <v>9</v>
      </c>
      <c r="G13" s="13">
        <f t="shared" ca="1" si="4"/>
        <v>0</v>
      </c>
      <c r="H13" s="14" t="e">
        <f t="shared" ref="H13:H22" ca="1" si="5">IF(G$25="","",G13/G$25)</f>
        <v>#DIV/0!</v>
      </c>
      <c r="I13" s="1"/>
      <c r="J13" s="47" t="str">
        <f t="shared" si="0"/>
        <v/>
      </c>
      <c r="K13" s="26"/>
      <c r="L13" s="1"/>
      <c r="M13" s="157" t="str">
        <f t="shared" si="2"/>
        <v/>
      </c>
      <c r="O13" s="433">
        <f>IF($H$32="M", $H$35+3*(100-$H$35)/12, $H$35+6*(100-$H$35)/30)</f>
        <v>55</v>
      </c>
      <c r="P13" s="55">
        <v>7</v>
      </c>
      <c r="Q13" s="434">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5"/>
        <v>#DIV/0!</v>
      </c>
      <c r="I14" s="23" t="e">
        <f ca="1">+H13+H14+H15</f>
        <v>#DIV/0!</v>
      </c>
      <c r="J14" s="47" t="str">
        <f t="shared" si="0"/>
        <v/>
      </c>
      <c r="K14" s="26"/>
      <c r="M14" s="157" t="str">
        <f t="shared" si="2"/>
        <v/>
      </c>
      <c r="O14" s="433">
        <f>IF($H$32="M", $H$35+2*(100-$H$35)/12, $H$35+4*(100-$H$35)/30)</f>
        <v>50</v>
      </c>
      <c r="P14" s="55">
        <v>6</v>
      </c>
      <c r="Q14" s="434">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5"/>
        <v>#DIV/0!</v>
      </c>
      <c r="I15" s="1">
        <f ca="1">+G13+G14+G15</f>
        <v>0</v>
      </c>
      <c r="J15" s="47" t="str">
        <f t="shared" si="0"/>
        <v/>
      </c>
      <c r="K15" s="26"/>
      <c r="M15" s="157" t="str">
        <f t="shared" si="2"/>
        <v/>
      </c>
      <c r="O15" s="433">
        <f>IF($H$32="M", $H$35+1*(100-$H$35)/12, $H$35+2*(100-$H$35)/30)</f>
        <v>45</v>
      </c>
      <c r="P15" s="55">
        <v>5</v>
      </c>
      <c r="Q15" s="434">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5"/>
        <v>#DIV/0!</v>
      </c>
      <c r="I16" s="1"/>
      <c r="J16" s="47" t="str">
        <f t="shared" si="0"/>
        <v/>
      </c>
      <c r="K16" s="26"/>
      <c r="M16" s="157" t="str">
        <f t="shared" si="2"/>
        <v/>
      </c>
      <c r="O16" s="433">
        <f>$H$35</f>
        <v>40</v>
      </c>
      <c r="P16" s="55">
        <v>4</v>
      </c>
      <c r="Q16" s="434">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5"/>
        <v>#DIV/0!</v>
      </c>
      <c r="I17" s="23" t="e">
        <f ca="1">+H16+H17+H18</f>
        <v>#DIV/0!</v>
      </c>
      <c r="J17" s="47" t="str">
        <f t="shared" si="0"/>
        <v/>
      </c>
      <c r="K17" s="26"/>
      <c r="M17" s="157" t="str">
        <f t="shared" si="2"/>
        <v/>
      </c>
      <c r="O17" s="433">
        <f>($H$34+2*($H$35-$H$34)/3)</f>
        <v>33.333333333333336</v>
      </c>
      <c r="P17" s="55">
        <v>3</v>
      </c>
      <c r="Q17" s="434">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5"/>
        <v>#DIV/0!</v>
      </c>
      <c r="I18" s="1">
        <f ca="1">+G16+G17+G18</f>
        <v>0</v>
      </c>
      <c r="J18" s="47" t="str">
        <f t="shared" si="0"/>
        <v/>
      </c>
      <c r="K18" s="1"/>
      <c r="M18" s="157" t="str">
        <f t="shared" si="2"/>
        <v/>
      </c>
      <c r="O18" s="433">
        <f>($H$34+($H$35-$H$34)/3)</f>
        <v>26.666666666666668</v>
      </c>
      <c r="P18" s="55">
        <v>2</v>
      </c>
      <c r="Q18" s="434">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5"/>
        <v>#DIV/0!</v>
      </c>
      <c r="I19" s="1"/>
      <c r="J19" s="47" t="str">
        <f t="shared" si="0"/>
        <v/>
      </c>
      <c r="K19" s="1"/>
      <c r="M19" s="157" t="str">
        <f t="shared" si="2"/>
        <v/>
      </c>
      <c r="O19" s="433">
        <f>$H$34-0.01</f>
        <v>19.989999999999998</v>
      </c>
      <c r="P19" s="55">
        <v>1</v>
      </c>
      <c r="Q19" s="434">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5"/>
        <v>#DIV/0!</v>
      </c>
      <c r="I20" s="23" t="e">
        <f ca="1">+H19+H20+H21</f>
        <v>#DIV/0!</v>
      </c>
      <c r="J20" s="47" t="str">
        <f t="shared" si="0"/>
        <v/>
      </c>
      <c r="K20" s="1"/>
      <c r="M20" s="157" t="str">
        <f t="shared" si="2"/>
        <v/>
      </c>
      <c r="O20" s="433">
        <v>0</v>
      </c>
      <c r="P20" s="55">
        <v>0</v>
      </c>
      <c r="Q20" s="434">
        <v>0</v>
      </c>
    </row>
    <row r="21" spans="1:17" x14ac:dyDescent="0.2">
      <c r="A21" s="3">
        <v>18</v>
      </c>
      <c r="B21" s="2" t="str">
        <f>IF('1. Halbjahr'!B21&lt;&gt;"", '1. Halbjahr'!B21, "")</f>
        <v/>
      </c>
      <c r="C21" s="37" t="str">
        <f t="shared" ca="1" si="1"/>
        <v/>
      </c>
      <c r="D21" s="5"/>
      <c r="E21" s="22"/>
      <c r="F21" s="50">
        <v>1</v>
      </c>
      <c r="G21" s="16">
        <f t="shared" ca="1" si="4"/>
        <v>0</v>
      </c>
      <c r="H21" s="17" t="e">
        <f t="shared" ca="1" si="5"/>
        <v>#DIV/0!</v>
      </c>
      <c r="I21" s="1">
        <f ca="1">+G19+G20+G21</f>
        <v>0</v>
      </c>
      <c r="J21" s="47" t="str">
        <f t="shared" si="0"/>
        <v/>
      </c>
      <c r="K21" s="1"/>
      <c r="M21" s="157" t="str">
        <f t="shared" si="2"/>
        <v/>
      </c>
      <c r="O21" s="45"/>
    </row>
    <row r="22" spans="1:17" x14ac:dyDescent="0.2">
      <c r="A22" s="3">
        <v>19</v>
      </c>
      <c r="B22" s="2" t="str">
        <f>IF('1. Halbjahr'!B22&lt;&gt;"", '1. Halbjahr'!B22, "")</f>
        <v/>
      </c>
      <c r="C22" s="37" t="str">
        <f t="shared" ca="1" si="1"/>
        <v/>
      </c>
      <c r="D22" s="5"/>
      <c r="E22" s="22"/>
      <c r="F22" s="61">
        <v>0</v>
      </c>
      <c r="G22" s="62">
        <f t="shared" ca="1" si="4"/>
        <v>0</v>
      </c>
      <c r="H22" s="63" t="e">
        <f t="shared" ca="1" si="5"/>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35</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2,0                      15   </v>
      </c>
      <c r="C43" s="160">
        <f>ROUNDDOWN(Q4/500*$H$30, 1)*5</f>
        <v>35</v>
      </c>
      <c r="D43" s="160">
        <f>C44+0.5</f>
        <v>33.5</v>
      </c>
      <c r="E43" s="167"/>
      <c r="F43" s="168" t="str">
        <f>IF(ABS(SUM($A$43:A43))&gt;1, "ALARM","")</f>
        <v/>
      </c>
      <c r="G43" s="169"/>
    </row>
    <row r="44" spans="1:13" ht="12.75" customHeight="1" x14ac:dyDescent="0.2">
      <c r="A44" s="443"/>
      <c r="B44" s="164" t="str">
        <f>IF(C44&lt;D44,"ALARM!   Breite zu klein", TEXT(C44-D44+0.5,"#0,0")&amp;"                      "&amp;"14   ")</f>
        <v xml:space="preserve">1,5                      14   </v>
      </c>
      <c r="C44" s="158">
        <f t="shared" ref="C44:C57" si="6">ROUNDDOWN(Q5/500*$H$30, 1)*5</f>
        <v>33</v>
      </c>
      <c r="D44" s="158">
        <f t="shared" ref="D44:D56" si="7">C45+0.5</f>
        <v>32</v>
      </c>
      <c r="E44" s="170"/>
      <c r="F44" s="153" t="str">
        <f>IF(ABS(SUM($A$43:A44))&gt;1, "ALARM","")</f>
        <v/>
      </c>
      <c r="G44" s="171"/>
    </row>
    <row r="45" spans="1:13" ht="12.75" customHeight="1" x14ac:dyDescent="0.2">
      <c r="A45" s="444"/>
      <c r="B45" s="165" t="str">
        <f>IF(C45&lt;D45,"ALARM!   Breite zu klein", TEXT(C45-D45+0.5,"#0,0")&amp;"                      "&amp;"13   ")</f>
        <v xml:space="preserve">2,0                      13   </v>
      </c>
      <c r="C45" s="161">
        <f t="shared" si="6"/>
        <v>31.5</v>
      </c>
      <c r="D45" s="161">
        <f t="shared" si="7"/>
        <v>30</v>
      </c>
      <c r="E45" s="170"/>
      <c r="F45" s="153" t="str">
        <f>IF(ABS(SUM($A$43:A45))&gt;1, "ALARM","")</f>
        <v/>
      </c>
      <c r="G45" s="171"/>
    </row>
    <row r="46" spans="1:13" ht="12.75" customHeight="1" x14ac:dyDescent="0.2">
      <c r="A46" s="443"/>
      <c r="B46" s="163" t="str">
        <f>IF(C46&lt;D46,"ALARM!   Breite zu klein", TEXT(C46-D46+0.5,"#0,0")&amp;"                      "&amp;"12   ")</f>
        <v xml:space="preserve">1,5                      12   </v>
      </c>
      <c r="C46" s="160">
        <f t="shared" si="6"/>
        <v>29.5</v>
      </c>
      <c r="D46" s="160">
        <f t="shared" si="7"/>
        <v>28.5</v>
      </c>
      <c r="E46" s="167"/>
      <c r="F46" s="168" t="str">
        <f>IF(ABS(SUM($A$43:A46))&gt;1, "ALARM","")</f>
        <v/>
      </c>
      <c r="G46" s="169"/>
    </row>
    <row r="47" spans="1:13" ht="12.75" customHeight="1" x14ac:dyDescent="0.2">
      <c r="A47" s="443"/>
      <c r="B47" s="164" t="str">
        <f>IF(C47&lt;D47,"ALARM!   Breite zu klein", TEXT(C47-D47+0.5,"#0,0")&amp;"                      "&amp;"11   ")</f>
        <v xml:space="preserve">2,0                      11   </v>
      </c>
      <c r="C47" s="158">
        <f t="shared" si="6"/>
        <v>28</v>
      </c>
      <c r="D47" s="158">
        <f t="shared" si="7"/>
        <v>26.5</v>
      </c>
      <c r="E47" s="170"/>
      <c r="F47" s="153" t="str">
        <f>IF(ABS(SUM($A$43:A47))&gt;1, "ALARM","")</f>
        <v/>
      </c>
      <c r="G47" s="171"/>
    </row>
    <row r="48" spans="1:13" ht="12.75" customHeight="1" x14ac:dyDescent="0.2">
      <c r="A48" s="443"/>
      <c r="B48" s="165" t="str">
        <f>IF(C48&lt;D48,"ALARM!   Breite zu klein", TEXT(C48-D48+0.5,"#0,0")&amp;"                      "&amp;"10   ")</f>
        <v xml:space="preserve">1,5                      10   </v>
      </c>
      <c r="C48" s="161">
        <f t="shared" si="6"/>
        <v>26</v>
      </c>
      <c r="D48" s="161">
        <f t="shared" si="7"/>
        <v>25</v>
      </c>
      <c r="E48" s="170"/>
      <c r="F48" s="153" t="str">
        <f>IF(ABS(SUM($A$43:A48))&gt;1, "ALARM","")</f>
        <v/>
      </c>
      <c r="G48" s="171"/>
    </row>
    <row r="49" spans="1:7" ht="12.75" customHeight="1" x14ac:dyDescent="0.2">
      <c r="A49" s="442"/>
      <c r="B49" s="163" t="str">
        <f>IF(C49&lt;D49,"ALARM!   Breite zu klein", TEXT(C49-D49+0.5,"#0,0")&amp;"                      "&amp;" 9   ")</f>
        <v xml:space="preserve">2,0                       9   </v>
      </c>
      <c r="C49" s="160">
        <f t="shared" si="6"/>
        <v>24.5</v>
      </c>
      <c r="D49" s="160">
        <f t="shared" si="7"/>
        <v>23</v>
      </c>
      <c r="E49" s="167"/>
      <c r="F49" s="168" t="str">
        <f>IF(ABS(SUM($A$43:A49))&gt;1, "ALARM","")</f>
        <v/>
      </c>
      <c r="G49" s="169"/>
    </row>
    <row r="50" spans="1:7" ht="12.75" customHeight="1" x14ac:dyDescent="0.2">
      <c r="A50" s="443"/>
      <c r="B50" s="164" t="str">
        <f>IF(C50&lt;D50,"ALARM!   Breite zu klein", TEXT(C50-D50+0.5,"#0,0")&amp;"                      "&amp;" 8   ")</f>
        <v xml:space="preserve">1,5                       8   </v>
      </c>
      <c r="C50" s="158">
        <f t="shared" si="6"/>
        <v>22.5</v>
      </c>
      <c r="D50" s="158">
        <f t="shared" si="7"/>
        <v>21.5</v>
      </c>
      <c r="E50" s="170"/>
      <c r="F50" s="153" t="str">
        <f>IF(ABS(SUM($A$43:A50))&gt;1, "ALARM","")</f>
        <v/>
      </c>
      <c r="G50" s="171"/>
    </row>
    <row r="51" spans="1:7" ht="12.75" customHeight="1" x14ac:dyDescent="0.2">
      <c r="A51" s="444"/>
      <c r="B51" s="165" t="str">
        <f>IF(C51&lt;D51,"ALARM!   Breite zu klein", TEXT(C51-D51+0.5,"#0,0")&amp;"                      "&amp;" 7   ")</f>
        <v xml:space="preserve">2,0                       7   </v>
      </c>
      <c r="C51" s="161">
        <f t="shared" si="6"/>
        <v>21</v>
      </c>
      <c r="D51" s="161">
        <f t="shared" si="7"/>
        <v>19.5</v>
      </c>
      <c r="E51" s="170"/>
      <c r="F51" s="153" t="str">
        <f>IF(ABS(SUM($A$43:A51))&gt;1, "ALARM","")</f>
        <v/>
      </c>
      <c r="G51" s="171"/>
    </row>
    <row r="52" spans="1:7" ht="12.75" customHeight="1" x14ac:dyDescent="0.2">
      <c r="A52" s="443"/>
      <c r="B52" s="163" t="str">
        <f>IF(C52&lt;D52,"ALARM!   Breite zu klein", TEXT(C52-D52+0.5,"#0,0")&amp;"                      "&amp;" 6   ")</f>
        <v xml:space="preserve">1,5                       6   </v>
      </c>
      <c r="C52" s="160">
        <f t="shared" si="6"/>
        <v>19</v>
      </c>
      <c r="D52" s="160">
        <f t="shared" si="7"/>
        <v>18</v>
      </c>
      <c r="E52" s="167"/>
      <c r="F52" s="168" t="str">
        <f>IF(ABS(SUM($A$43:A52))&gt;1, "ALARM","")</f>
        <v/>
      </c>
      <c r="G52" s="169"/>
    </row>
    <row r="53" spans="1:7" ht="12.75" customHeight="1" x14ac:dyDescent="0.2">
      <c r="A53" s="443"/>
      <c r="B53" s="164" t="str">
        <f>IF(C53&lt;D53,"ALARM!   Breite zu klein", TEXT(C53-D53+0.5,"#0,0")&amp;"                      "&amp;" 5   ")</f>
        <v xml:space="preserve">2,0                       5   </v>
      </c>
      <c r="C53" s="158">
        <f t="shared" si="6"/>
        <v>17.5</v>
      </c>
      <c r="D53" s="158">
        <f t="shared" si="7"/>
        <v>16</v>
      </c>
      <c r="E53" s="170"/>
      <c r="F53" s="153" t="str">
        <f>IF(ABS(SUM($A$43:A53))&gt;1, "ALARM","")</f>
        <v/>
      </c>
      <c r="G53" s="171"/>
    </row>
    <row r="54" spans="1:7" ht="12.75" customHeight="1" x14ac:dyDescent="0.2">
      <c r="A54" s="443"/>
      <c r="B54" s="165" t="str">
        <f>IF(C54&lt;D54,"ALARM!   Breite zu klein", TEXT(C54-D54+0.5,"#0,0")&amp;"                      "&amp;" 4   ")</f>
        <v xml:space="preserve">1,5                       4   </v>
      </c>
      <c r="C54" s="161">
        <f t="shared" si="6"/>
        <v>15.5</v>
      </c>
      <c r="D54" s="161">
        <f t="shared" si="7"/>
        <v>14.5</v>
      </c>
      <c r="E54" s="170"/>
      <c r="F54" s="153" t="str">
        <f>IF(ABS(SUM($A$43:A54))&gt;1, "ALARM","")</f>
        <v/>
      </c>
      <c r="G54" s="171"/>
    </row>
    <row r="55" spans="1:7" ht="12.75" customHeight="1" x14ac:dyDescent="0.2">
      <c r="A55" s="442"/>
      <c r="B55" s="163" t="str">
        <f>IF(C55&lt;D55,"ALARM!   Breite zu klein", TEXT(C55-D55+0.5,"#0,0")&amp;"                      "&amp;" 3   ")</f>
        <v xml:space="preserve">2,5                       3   </v>
      </c>
      <c r="C55" s="160">
        <f t="shared" si="6"/>
        <v>14</v>
      </c>
      <c r="D55" s="160">
        <f t="shared" si="7"/>
        <v>12</v>
      </c>
      <c r="E55" s="167"/>
      <c r="F55" s="168" t="str">
        <f>IF(ABS(SUM($A$43:A55))&gt;1, "ALARM","")</f>
        <v/>
      </c>
      <c r="G55" s="169"/>
    </row>
    <row r="56" spans="1:7" ht="12.75" customHeight="1" x14ac:dyDescent="0.2">
      <c r="A56" s="443"/>
      <c r="B56" s="164" t="str">
        <f>IF(C56&lt;D56,"ALARM!   Breite zu klein", TEXT(C56-D56+0.5,"#0,0")&amp;"                      "&amp;" 2   ")</f>
        <v xml:space="preserve">2,5                       2   </v>
      </c>
      <c r="C56" s="158">
        <f t="shared" si="6"/>
        <v>11.5</v>
      </c>
      <c r="D56" s="158">
        <f t="shared" si="7"/>
        <v>9.5</v>
      </c>
      <c r="E56" s="170"/>
      <c r="F56" s="153" t="str">
        <f>IF(ABS(SUM($A$43:A56))&gt;1, "ALARM","")</f>
        <v/>
      </c>
      <c r="G56" s="171"/>
    </row>
    <row r="57" spans="1:7" ht="12.75" customHeight="1" x14ac:dyDescent="0.2">
      <c r="A57" s="444"/>
      <c r="B57" s="165" t="str">
        <f>IF(C57&lt;D57,"ALARM!   Breite zu klein", TEXT(C57-D57+0.5,"#0,0")&amp;"                      "&amp;" 1   ")</f>
        <v xml:space="preserve">2,5                       1   </v>
      </c>
      <c r="C57" s="161">
        <f t="shared" si="6"/>
        <v>9</v>
      </c>
      <c r="D57" s="161">
        <f>ROUNDUP(H34/500*$H$30,1)*5</f>
        <v>7</v>
      </c>
      <c r="E57" s="172"/>
      <c r="F57" s="153" t="str">
        <f>IF(ABS(SUM($A$43:A57))&gt;1, "ALARM","")</f>
        <v/>
      </c>
      <c r="G57" s="173"/>
    </row>
    <row r="58" spans="1:7" ht="12.75" customHeight="1" thickBot="1" x14ac:dyDescent="0.25">
      <c r="A58" s="445"/>
      <c r="B58" s="163" t="str">
        <f>IF(C58&lt;D58,"ALARM!   Breite zu klein", TEXT(C58-D58+0.5,"#0,0")&amp;"                      "&amp;" 0   ")</f>
        <v xml:space="preserve">7,0                       0   </v>
      </c>
      <c r="C58" s="159">
        <f>D57-0.5</f>
        <v>6.5</v>
      </c>
      <c r="D58" s="162">
        <v>0</v>
      </c>
      <c r="E58" s="174"/>
      <c r="F58" s="174" t="str">
        <f>IF(ABS(SUM($A$43:A58))&gt;1, "ALARM","")</f>
        <v/>
      </c>
      <c r="G58" s="175"/>
    </row>
    <row r="59" spans="1:7" x14ac:dyDescent="0.2">
      <c r="B59" s="166"/>
    </row>
  </sheetData>
  <sheetProtection algorithmName="SHA-512" hashValue="0w6eTea4Fq9dxjI7mAcfIzyW76usIEXzANa5wVQIB1hcPihoFga6d/b7tb8grQEbrAmGOYycL66+hzVnr4DaIw==" saltValue="CKgQDeMBYPNtDlwlQGTzDQ==" spinCount="100000" sheet="1" objects="1" scenarios="1"/>
  <mergeCells count="9">
    <mergeCell ref="A40:A42"/>
    <mergeCell ref="F5:H5"/>
    <mergeCell ref="G1:H1"/>
    <mergeCell ref="C1:E1"/>
    <mergeCell ref="C40:D40"/>
    <mergeCell ref="C41:D41"/>
    <mergeCell ref="E40:G40"/>
    <mergeCell ref="E41:G41"/>
    <mergeCell ref="E42:G42"/>
  </mergeCells>
  <phoneticPr fontId="0" type="noConversion"/>
  <conditionalFormatting sqref="B43:B58">
    <cfRule type="cellIs" dxfId="99" priority="2" operator="equal">
      <formula>"ALARM!   Breite zu klein"</formula>
    </cfRule>
  </conditionalFormatting>
  <conditionalFormatting sqref="D4:D38">
    <cfRule type="expression" dxfId="98" priority="4" stopIfTrue="1">
      <formula>$H$3="Punkte"</formula>
    </cfRule>
    <cfRule type="expression" dxfId="97" priority="5" stopIfTrue="1">
      <formula>$H$3="BE"</formula>
    </cfRule>
  </conditionalFormatting>
  <conditionalFormatting sqref="F43:F58">
    <cfRule type="cellIs" dxfId="96" priority="3" operator="equal">
      <formula>"ALARM"</formula>
    </cfRule>
  </conditionalFormatting>
  <dataValidations disablePrompts="1" count="2">
    <dataValidation type="list" allowBlank="1" showInputMessage="1" showErrorMessage="1" sqref="H32" xr:uid="{00000000-0002-0000-0100-000000000000}">
      <formula1>"E,M"</formula1>
    </dataValidation>
    <dataValidation type="list" allowBlank="1" showInputMessage="1" showErrorMessage="1" sqref="H3" xr:uid="{00000000-0002-0000-0100-000001000000}">
      <formula1>"BE,Punkte"</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tabColor indexed="34"/>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28</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t="str">
        <f>IF('1. Halbjahr'!K1="","",'1. Halbjahr'!K1)</f>
        <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35</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2,0                      15   </v>
      </c>
      <c r="C43" s="160">
        <f>ROUNDDOWN(Q4/500*$H$30, 1)*5</f>
        <v>35</v>
      </c>
      <c r="D43" s="160">
        <f>C44+0.5</f>
        <v>33.5</v>
      </c>
      <c r="E43" s="167"/>
      <c r="F43" s="168" t="str">
        <f>IF(ABS(SUM($A$43:A43))&gt;1, "ALARM","")</f>
        <v/>
      </c>
      <c r="G43" s="169"/>
    </row>
    <row r="44" spans="1:13" ht="12.75" customHeight="1" x14ac:dyDescent="0.2">
      <c r="A44" s="443"/>
      <c r="B44" s="164" t="str">
        <f>IF(C44&lt;D44,"ALARM!   Breite zu klein", TEXT(C44-D44+0.5,"#0,0")&amp;"                      "&amp;"14   ")</f>
        <v xml:space="preserve">1,5                      14   </v>
      </c>
      <c r="C44" s="158">
        <f t="shared" ref="C44:C57" si="5">ROUNDDOWN(Q5/500*$H$30, 1)*5</f>
        <v>33</v>
      </c>
      <c r="D44" s="158">
        <f t="shared" ref="D44:D56" si="6">C45+0.5</f>
        <v>32</v>
      </c>
      <c r="E44" s="170"/>
      <c r="F44" s="153" t="str">
        <f>IF(ABS(SUM($A$43:A44))&gt;1, "ALARM","")</f>
        <v/>
      </c>
      <c r="G44" s="171"/>
    </row>
    <row r="45" spans="1:13" ht="12.75" customHeight="1" x14ac:dyDescent="0.2">
      <c r="A45" s="444"/>
      <c r="B45" s="165" t="str">
        <f>IF(C45&lt;D45,"ALARM!   Breite zu klein", TEXT(C45-D45+0.5,"#0,0")&amp;"                      "&amp;"13   ")</f>
        <v xml:space="preserve">2,0                      13   </v>
      </c>
      <c r="C45" s="161">
        <f t="shared" si="5"/>
        <v>31.5</v>
      </c>
      <c r="D45" s="161">
        <f t="shared" si="6"/>
        <v>30</v>
      </c>
      <c r="E45" s="170"/>
      <c r="F45" s="153" t="str">
        <f>IF(ABS(SUM($A$43:A45))&gt;1, "ALARM","")</f>
        <v/>
      </c>
      <c r="G45" s="171"/>
    </row>
    <row r="46" spans="1:13" ht="12.75" customHeight="1" x14ac:dyDescent="0.2">
      <c r="A46" s="443"/>
      <c r="B46" s="163" t="str">
        <f>IF(C46&lt;D46,"ALARM!   Breite zu klein", TEXT(C46-D46+0.5,"#0,0")&amp;"                      "&amp;"12   ")</f>
        <v xml:space="preserve">1,5                      12   </v>
      </c>
      <c r="C46" s="160">
        <f t="shared" si="5"/>
        <v>29.5</v>
      </c>
      <c r="D46" s="160">
        <f t="shared" si="6"/>
        <v>28.5</v>
      </c>
      <c r="E46" s="167"/>
      <c r="F46" s="168" t="str">
        <f>IF(ABS(SUM($A$43:A46))&gt;1, "ALARM","")</f>
        <v/>
      </c>
      <c r="G46" s="169"/>
    </row>
    <row r="47" spans="1:13" ht="12.75" customHeight="1" x14ac:dyDescent="0.2">
      <c r="A47" s="443"/>
      <c r="B47" s="164" t="str">
        <f>IF(C47&lt;D47,"ALARM!   Breite zu klein", TEXT(C47-D47+0.5,"#0,0")&amp;"                      "&amp;"11   ")</f>
        <v xml:space="preserve">2,0                      11   </v>
      </c>
      <c r="C47" s="158">
        <f t="shared" si="5"/>
        <v>28</v>
      </c>
      <c r="D47" s="158">
        <f t="shared" si="6"/>
        <v>26.5</v>
      </c>
      <c r="E47" s="170"/>
      <c r="F47" s="153" t="str">
        <f>IF(ABS(SUM($A$43:A47))&gt;1, "ALARM","")</f>
        <v/>
      </c>
      <c r="G47" s="171"/>
    </row>
    <row r="48" spans="1:13" ht="12.75" customHeight="1" x14ac:dyDescent="0.2">
      <c r="A48" s="443"/>
      <c r="B48" s="165" t="str">
        <f>IF(C48&lt;D48,"ALARM!   Breite zu klein", TEXT(C48-D48+0.5,"#0,0")&amp;"                      "&amp;"10   ")</f>
        <v xml:space="preserve">1,5                      10   </v>
      </c>
      <c r="C48" s="161">
        <f t="shared" si="5"/>
        <v>26</v>
      </c>
      <c r="D48" s="161">
        <f t="shared" si="6"/>
        <v>25</v>
      </c>
      <c r="E48" s="170"/>
      <c r="F48" s="153" t="str">
        <f>IF(ABS(SUM($A$43:A48))&gt;1, "ALARM","")</f>
        <v/>
      </c>
      <c r="G48" s="171"/>
    </row>
    <row r="49" spans="1:7" ht="12.75" customHeight="1" x14ac:dyDescent="0.2">
      <c r="A49" s="442"/>
      <c r="B49" s="163" t="str">
        <f>IF(C49&lt;D49,"ALARM!   Breite zu klein", TEXT(C49-D49+0.5,"#0,0")&amp;"                      "&amp;" 9   ")</f>
        <v xml:space="preserve">2,0                       9   </v>
      </c>
      <c r="C49" s="160">
        <f t="shared" si="5"/>
        <v>24.5</v>
      </c>
      <c r="D49" s="160">
        <f t="shared" si="6"/>
        <v>23</v>
      </c>
      <c r="E49" s="167"/>
      <c r="F49" s="168" t="str">
        <f>IF(ABS(SUM($A$43:A49))&gt;1, "ALARM","")</f>
        <v/>
      </c>
      <c r="G49" s="169"/>
    </row>
    <row r="50" spans="1:7" ht="12.75" customHeight="1" x14ac:dyDescent="0.2">
      <c r="A50" s="443"/>
      <c r="B50" s="164" t="str">
        <f>IF(C50&lt;D50,"ALARM!   Breite zu klein", TEXT(C50-D50+0.5,"#0,0")&amp;"                      "&amp;" 8   ")</f>
        <v xml:space="preserve">1,5                       8   </v>
      </c>
      <c r="C50" s="158">
        <f t="shared" si="5"/>
        <v>22.5</v>
      </c>
      <c r="D50" s="158">
        <f t="shared" si="6"/>
        <v>21.5</v>
      </c>
      <c r="E50" s="170"/>
      <c r="F50" s="153" t="str">
        <f>IF(ABS(SUM($A$43:A50))&gt;1, "ALARM","")</f>
        <v/>
      </c>
      <c r="G50" s="171"/>
    </row>
    <row r="51" spans="1:7" ht="12.75" customHeight="1" x14ac:dyDescent="0.2">
      <c r="A51" s="444"/>
      <c r="B51" s="165" t="str">
        <f>IF(C51&lt;D51,"ALARM!   Breite zu klein", TEXT(C51-D51+0.5,"#0,0")&amp;"                      "&amp;" 7   ")</f>
        <v xml:space="preserve">2,0                       7   </v>
      </c>
      <c r="C51" s="161">
        <f t="shared" si="5"/>
        <v>21</v>
      </c>
      <c r="D51" s="161">
        <f t="shared" si="6"/>
        <v>19.5</v>
      </c>
      <c r="E51" s="170"/>
      <c r="F51" s="153" t="str">
        <f>IF(ABS(SUM($A$43:A51))&gt;1, "ALARM","")</f>
        <v/>
      </c>
      <c r="G51" s="171"/>
    </row>
    <row r="52" spans="1:7" ht="12.75" customHeight="1" x14ac:dyDescent="0.2">
      <c r="A52" s="443"/>
      <c r="B52" s="163" t="str">
        <f>IF(C52&lt;D52,"ALARM!   Breite zu klein", TEXT(C52-D52+0.5,"#0,0")&amp;"                      "&amp;" 6   ")</f>
        <v xml:space="preserve">1,5                       6   </v>
      </c>
      <c r="C52" s="160">
        <f t="shared" si="5"/>
        <v>19</v>
      </c>
      <c r="D52" s="160">
        <f t="shared" si="6"/>
        <v>18</v>
      </c>
      <c r="E52" s="167"/>
      <c r="F52" s="168" t="str">
        <f>IF(ABS(SUM($A$43:A52))&gt;1, "ALARM","")</f>
        <v/>
      </c>
      <c r="G52" s="169"/>
    </row>
    <row r="53" spans="1:7" ht="12.75" customHeight="1" x14ac:dyDescent="0.2">
      <c r="A53" s="443"/>
      <c r="B53" s="164" t="str">
        <f>IF(C53&lt;D53,"ALARM!   Breite zu klein", TEXT(C53-D53+0.5,"#0,0")&amp;"                      "&amp;" 5   ")</f>
        <v xml:space="preserve">2,0                       5   </v>
      </c>
      <c r="C53" s="158">
        <f t="shared" si="5"/>
        <v>17.5</v>
      </c>
      <c r="D53" s="158">
        <f t="shared" si="6"/>
        <v>16</v>
      </c>
      <c r="E53" s="170"/>
      <c r="F53" s="153" t="str">
        <f>IF(ABS(SUM($A$43:A53))&gt;1, "ALARM","")</f>
        <v/>
      </c>
      <c r="G53" s="171"/>
    </row>
    <row r="54" spans="1:7" ht="12.75" customHeight="1" x14ac:dyDescent="0.2">
      <c r="A54" s="443"/>
      <c r="B54" s="165" t="str">
        <f>IF(C54&lt;D54,"ALARM!   Breite zu klein", TEXT(C54-D54+0.5,"#0,0")&amp;"                      "&amp;" 4   ")</f>
        <v xml:space="preserve">1,5                       4   </v>
      </c>
      <c r="C54" s="161">
        <f t="shared" si="5"/>
        <v>15.5</v>
      </c>
      <c r="D54" s="161">
        <f t="shared" si="6"/>
        <v>14.5</v>
      </c>
      <c r="E54" s="170"/>
      <c r="F54" s="153" t="str">
        <f>IF(ABS(SUM($A$43:A54))&gt;1, "ALARM","")</f>
        <v/>
      </c>
      <c r="G54" s="171"/>
    </row>
    <row r="55" spans="1:7" ht="12.75" customHeight="1" x14ac:dyDescent="0.2">
      <c r="A55" s="442"/>
      <c r="B55" s="163" t="str">
        <f>IF(C55&lt;D55,"ALARM!   Breite zu klein", TEXT(C55-D55+0.5,"#0,0")&amp;"                      "&amp;" 3   ")</f>
        <v xml:space="preserve">2,5                       3   </v>
      </c>
      <c r="C55" s="160">
        <f t="shared" si="5"/>
        <v>14</v>
      </c>
      <c r="D55" s="160">
        <f t="shared" si="6"/>
        <v>12</v>
      </c>
      <c r="E55" s="167"/>
      <c r="F55" s="168" t="str">
        <f>IF(ABS(SUM($A$43:A55))&gt;1, "ALARM","")</f>
        <v/>
      </c>
      <c r="G55" s="169"/>
    </row>
    <row r="56" spans="1:7" ht="12.75" customHeight="1" x14ac:dyDescent="0.2">
      <c r="A56" s="443"/>
      <c r="B56" s="164" t="str">
        <f>IF(C56&lt;D56,"ALARM!   Breite zu klein", TEXT(C56-D56+0.5,"#0,0")&amp;"                      "&amp;" 2   ")</f>
        <v xml:space="preserve">2,5                       2   </v>
      </c>
      <c r="C56" s="158">
        <f t="shared" si="5"/>
        <v>11.5</v>
      </c>
      <c r="D56" s="158">
        <f t="shared" si="6"/>
        <v>9.5</v>
      </c>
      <c r="E56" s="170"/>
      <c r="F56" s="153" t="str">
        <f>IF(ABS(SUM($A$43:A56))&gt;1, "ALARM","")</f>
        <v/>
      </c>
      <c r="G56" s="171"/>
    </row>
    <row r="57" spans="1:7" ht="12.75" customHeight="1" x14ac:dyDescent="0.2">
      <c r="A57" s="444"/>
      <c r="B57" s="165" t="str">
        <f>IF(C57&lt;D57,"ALARM!   Breite zu klein", TEXT(C57-D57+0.5,"#0,0")&amp;"                      "&amp;" 1   ")</f>
        <v xml:space="preserve">2,5                       1   </v>
      </c>
      <c r="C57" s="161">
        <f t="shared" si="5"/>
        <v>9</v>
      </c>
      <c r="D57" s="161">
        <f>ROUNDUP(H34/500*$H$30,1)*5</f>
        <v>7</v>
      </c>
      <c r="E57" s="172"/>
      <c r="F57" s="153" t="str">
        <f>IF(ABS(SUM($A$43:A57))&gt;1, "ALARM","")</f>
        <v/>
      </c>
      <c r="G57" s="173"/>
    </row>
    <row r="58" spans="1:7" ht="12.75" customHeight="1" thickBot="1" x14ac:dyDescent="0.25">
      <c r="A58" s="445"/>
      <c r="B58" s="163" t="str">
        <f>IF(C58&lt;D58,"ALARM!   Breite zu klein", TEXT(C58-D58+0.5,"#0,0")&amp;"                      "&amp;" 0   ")</f>
        <v xml:space="preserve">7,0                       0   </v>
      </c>
      <c r="C58" s="159">
        <f>D57-0.5</f>
        <v>6.5</v>
      </c>
      <c r="D58" s="162">
        <v>0</v>
      </c>
      <c r="E58" s="174"/>
      <c r="F58" s="174" t="str">
        <f>IF(ABS(SUM($A$43:A58))&gt;1, "ALARM","")</f>
        <v/>
      </c>
      <c r="G58" s="175"/>
    </row>
    <row r="59" spans="1:7" x14ac:dyDescent="0.2">
      <c r="B59" s="166"/>
    </row>
  </sheetData>
  <sheetProtection algorithmName="SHA-512" hashValue="H4CC1DrH8fy2IbnwnYGRC09nvzv2EhR6xsZj4H160dwgzdVGgxocKoqCjzK625CHoLjzFLwUuWLk25c133zJyQ==" saltValue="Yl2c150HPnyHkLo19Q4PjQ=="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95" priority="1" operator="equal">
      <formula>"ALARM!   Breite zu klein"</formula>
    </cfRule>
  </conditionalFormatting>
  <conditionalFormatting sqref="D4:D38">
    <cfRule type="expression" dxfId="94" priority="3" stopIfTrue="1">
      <formula>$H$3="Punkte"</formula>
    </cfRule>
    <cfRule type="expression" dxfId="93" priority="4" stopIfTrue="1">
      <formula>$H$3="BE"</formula>
    </cfRule>
  </conditionalFormatting>
  <conditionalFormatting sqref="F43:F58">
    <cfRule type="cellIs" dxfId="92" priority="2" operator="equal">
      <formula>"ALARM"</formula>
    </cfRule>
  </conditionalFormatting>
  <dataValidations count="2">
    <dataValidation type="list" allowBlank="1" showInputMessage="1" showErrorMessage="1" sqref="H3" xr:uid="{00000000-0002-0000-0200-000000000000}">
      <formula1>"BE,Punkte"</formula1>
    </dataValidation>
    <dataValidation type="list" allowBlank="1" showInputMessage="1" showErrorMessage="1" sqref="H32" xr:uid="{00000000-0002-0000-0200-000001000000}">
      <formula1>"E,M"</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5">
    <tabColor rgb="FFFFCC66"/>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68</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t="str">
        <f>IF('1. Halbjahr'!K1="","",'1. Halbjahr'!K1)</f>
        <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18</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18</v>
      </c>
      <c r="D43" s="160">
        <f>C44+0.5</f>
        <v>17.5</v>
      </c>
      <c r="E43" s="167"/>
      <c r="F43" s="168" t="str">
        <f>IF(ABS(SUM($A$43:A43))&gt;1, "ALARM","")</f>
        <v/>
      </c>
      <c r="G43" s="169"/>
    </row>
    <row r="44" spans="1:13" ht="12.75" customHeight="1" x14ac:dyDescent="0.2">
      <c r="A44" s="443"/>
      <c r="B44" s="164" t="str">
        <f>IF(C44&lt;D44,"ALARM!   Breite zu klein", TEXT(C44-D44+0.5,"#0,0")&amp;"                      "&amp;"14   ")</f>
        <v xml:space="preserve">1,0                      14   </v>
      </c>
      <c r="C44" s="158">
        <f t="shared" ref="C44:C57" si="5">ROUNDDOWN(Q5/500*$H$30, 1)*5</f>
        <v>17</v>
      </c>
      <c r="D44" s="158">
        <f t="shared" ref="D44:D56" si="6">C45+0.5</f>
        <v>16.5</v>
      </c>
      <c r="E44" s="170"/>
      <c r="F44" s="153" t="str">
        <f>IF(ABS(SUM($A$43:A44))&gt;1, "ALARM","")</f>
        <v/>
      </c>
      <c r="G44" s="171"/>
    </row>
    <row r="45" spans="1:13" ht="12.75" customHeight="1" x14ac:dyDescent="0.2">
      <c r="A45" s="444"/>
      <c r="B45" s="165" t="str">
        <f>IF(C45&lt;D45,"ALARM!   Breite zu klein", TEXT(C45-D45+0.5,"#0,0")&amp;"                      "&amp;"13   ")</f>
        <v xml:space="preserve">1,0                      13   </v>
      </c>
      <c r="C45" s="161">
        <f t="shared" si="5"/>
        <v>16</v>
      </c>
      <c r="D45" s="161">
        <f t="shared" si="6"/>
        <v>15.5</v>
      </c>
      <c r="E45" s="170"/>
      <c r="F45" s="153" t="str">
        <f>IF(ABS(SUM($A$43:A45))&gt;1, "ALARM","")</f>
        <v/>
      </c>
      <c r="G45" s="171"/>
    </row>
    <row r="46" spans="1:13" ht="12.75" customHeight="1" x14ac:dyDescent="0.2">
      <c r="A46" s="443"/>
      <c r="B46" s="163" t="str">
        <f>IF(C46&lt;D46,"ALARM!   Breite zu klein", TEXT(C46-D46+0.5,"#0,0")&amp;"                      "&amp;"12   ")</f>
        <v xml:space="preserve">1,0                      12   </v>
      </c>
      <c r="C46" s="160">
        <f t="shared" si="5"/>
        <v>15</v>
      </c>
      <c r="D46" s="160">
        <f t="shared" si="6"/>
        <v>14.5</v>
      </c>
      <c r="E46" s="167"/>
      <c r="F46" s="168" t="str">
        <f>IF(ABS(SUM($A$43:A46))&gt;1, "ALARM","")</f>
        <v/>
      </c>
      <c r="G46" s="169"/>
    </row>
    <row r="47" spans="1:13" ht="12.75" customHeight="1" x14ac:dyDescent="0.2">
      <c r="A47" s="443"/>
      <c r="B47" s="164" t="str">
        <f>IF(C47&lt;D47,"ALARM!   Breite zu klein", TEXT(C47-D47+0.5,"#0,0")&amp;"                      "&amp;"11   ")</f>
        <v xml:space="preserve">0,5                      11   </v>
      </c>
      <c r="C47" s="158">
        <f t="shared" si="5"/>
        <v>14</v>
      </c>
      <c r="D47" s="158">
        <f t="shared" si="6"/>
        <v>14</v>
      </c>
      <c r="E47" s="170"/>
      <c r="F47" s="153" t="str">
        <f>IF(ABS(SUM($A$43:A47))&gt;1, "ALARM","")</f>
        <v/>
      </c>
      <c r="G47" s="171"/>
    </row>
    <row r="48" spans="1:13" ht="12.75" customHeight="1" x14ac:dyDescent="0.2">
      <c r="A48" s="443"/>
      <c r="B48" s="165" t="str">
        <f>IF(C48&lt;D48,"ALARM!   Breite zu klein", TEXT(C48-D48+0.5,"#0,0")&amp;"                      "&amp;"10   ")</f>
        <v xml:space="preserve">1,0                      10   </v>
      </c>
      <c r="C48" s="161">
        <f t="shared" si="5"/>
        <v>13.5</v>
      </c>
      <c r="D48" s="161">
        <f t="shared" si="6"/>
        <v>13</v>
      </c>
      <c r="E48" s="170"/>
      <c r="F48" s="153" t="str">
        <f>IF(ABS(SUM($A$43:A48))&gt;1, "ALARM","")</f>
        <v/>
      </c>
      <c r="G48" s="171"/>
    </row>
    <row r="49" spans="1:7" ht="12.75" customHeight="1" x14ac:dyDescent="0.2">
      <c r="A49" s="442"/>
      <c r="B49" s="163" t="str">
        <f>IF(C49&lt;D49,"ALARM!   Breite zu klein", TEXT(C49-D49+0.5,"#0,0")&amp;"                      "&amp;" 9   ")</f>
        <v xml:space="preserve">1,0                       9   </v>
      </c>
      <c r="C49" s="160">
        <f t="shared" si="5"/>
        <v>12.5</v>
      </c>
      <c r="D49" s="160">
        <f t="shared" si="6"/>
        <v>12</v>
      </c>
      <c r="E49" s="167"/>
      <c r="F49" s="168" t="str">
        <f>IF(ABS(SUM($A$43:A49))&gt;1, "ALARM","")</f>
        <v/>
      </c>
      <c r="G49" s="169"/>
    </row>
    <row r="50" spans="1:7" ht="12.75" customHeight="1" x14ac:dyDescent="0.2">
      <c r="A50" s="443"/>
      <c r="B50" s="164" t="str">
        <f>IF(C50&lt;D50,"ALARM!   Breite zu klein", TEXT(C50-D50+0.5,"#0,0")&amp;"                      "&amp;" 8   ")</f>
        <v xml:space="preserve">1,0                       8   </v>
      </c>
      <c r="C50" s="158">
        <f t="shared" si="5"/>
        <v>11.5</v>
      </c>
      <c r="D50" s="158">
        <f t="shared" si="6"/>
        <v>11</v>
      </c>
      <c r="E50" s="170"/>
      <c r="F50" s="153" t="str">
        <f>IF(ABS(SUM($A$43:A50))&gt;1, "ALARM","")</f>
        <v/>
      </c>
      <c r="G50" s="171"/>
    </row>
    <row r="51" spans="1:7" ht="12.75" customHeight="1" x14ac:dyDescent="0.2">
      <c r="A51" s="444"/>
      <c r="B51" s="165" t="str">
        <f>IF(C51&lt;D51,"ALARM!   Breite zu klein", TEXT(C51-D51+0.5,"#0,0")&amp;"                      "&amp;" 7   ")</f>
        <v xml:space="preserve">1,0                       7   </v>
      </c>
      <c r="C51" s="161">
        <f t="shared" si="5"/>
        <v>10.5</v>
      </c>
      <c r="D51" s="161">
        <f t="shared" si="6"/>
        <v>10</v>
      </c>
      <c r="E51" s="170"/>
      <c r="F51" s="153" t="str">
        <f>IF(ABS(SUM($A$43:A51))&gt;1, "ALARM","")</f>
        <v/>
      </c>
      <c r="G51" s="171"/>
    </row>
    <row r="52" spans="1:7" ht="12.75" customHeight="1" x14ac:dyDescent="0.2">
      <c r="A52" s="443"/>
      <c r="B52" s="163" t="str">
        <f>IF(C52&lt;D52,"ALARM!   Breite zu klein", TEXT(C52-D52+0.5,"#0,0")&amp;"                      "&amp;" 6   ")</f>
        <v xml:space="preserve">0,5                       6   </v>
      </c>
      <c r="C52" s="160">
        <f t="shared" si="5"/>
        <v>9.5</v>
      </c>
      <c r="D52" s="160">
        <f t="shared" si="6"/>
        <v>9.5</v>
      </c>
      <c r="E52" s="167"/>
      <c r="F52" s="168" t="str">
        <f>IF(ABS(SUM($A$43:A52))&gt;1, "ALARM","")</f>
        <v/>
      </c>
      <c r="G52" s="169"/>
    </row>
    <row r="53" spans="1:7" ht="12.75" customHeight="1" x14ac:dyDescent="0.2">
      <c r="A53" s="443"/>
      <c r="B53" s="164" t="str">
        <f>IF(C53&lt;D53,"ALARM!   Breite zu klein", TEXT(C53-D53+0.5,"#0,0")&amp;"                      "&amp;" 5   ")</f>
        <v xml:space="preserve">1,0                       5   </v>
      </c>
      <c r="C53" s="158">
        <f t="shared" si="5"/>
        <v>9</v>
      </c>
      <c r="D53" s="158">
        <f t="shared" si="6"/>
        <v>8.5</v>
      </c>
      <c r="E53" s="170"/>
      <c r="F53" s="153" t="str">
        <f>IF(ABS(SUM($A$43:A53))&gt;1, "ALARM","")</f>
        <v/>
      </c>
      <c r="G53" s="171"/>
    </row>
    <row r="54" spans="1:7" ht="12.75" customHeight="1" x14ac:dyDescent="0.2">
      <c r="A54" s="443"/>
      <c r="B54" s="165" t="str">
        <f>IF(C54&lt;D54,"ALARM!   Breite zu klein", TEXT(C54-D54+0.5,"#0,0")&amp;"                      "&amp;" 4   ")</f>
        <v xml:space="preserve">1,0                       4   </v>
      </c>
      <c r="C54" s="161">
        <f t="shared" si="5"/>
        <v>8</v>
      </c>
      <c r="D54" s="161">
        <f t="shared" si="6"/>
        <v>7.5</v>
      </c>
      <c r="E54" s="170"/>
      <c r="F54" s="153" t="str">
        <f>IF(ABS(SUM($A$43:A54))&gt;1, "ALARM","")</f>
        <v/>
      </c>
      <c r="G54" s="171"/>
    </row>
    <row r="55" spans="1:7" ht="12.75" customHeight="1" x14ac:dyDescent="0.2">
      <c r="A55" s="442"/>
      <c r="B55" s="163" t="str">
        <f>IF(C55&lt;D55,"ALARM!   Breite zu klein", TEXT(C55-D55+0.5,"#0,0")&amp;"                      "&amp;" 3   ")</f>
        <v xml:space="preserve">1,0                       3   </v>
      </c>
      <c r="C55" s="160">
        <f t="shared" si="5"/>
        <v>7</v>
      </c>
      <c r="D55" s="160">
        <f t="shared" si="6"/>
        <v>6.5</v>
      </c>
      <c r="E55" s="167"/>
      <c r="F55" s="168" t="str">
        <f>IF(ABS(SUM($A$43:A55))&gt;1, "ALARM","")</f>
        <v/>
      </c>
      <c r="G55" s="169"/>
    </row>
    <row r="56" spans="1:7" ht="12.75" customHeight="1" x14ac:dyDescent="0.2">
      <c r="A56" s="443"/>
      <c r="B56" s="164" t="str">
        <f>IF(C56&lt;D56,"ALARM!   Breite zu klein", TEXT(C56-D56+0.5,"#0,0")&amp;"                      "&amp;" 2   ")</f>
        <v xml:space="preserve">1,5                       2   </v>
      </c>
      <c r="C56" s="158">
        <f t="shared" si="5"/>
        <v>6</v>
      </c>
      <c r="D56" s="158">
        <f t="shared" si="6"/>
        <v>5</v>
      </c>
      <c r="E56" s="170"/>
      <c r="F56" s="153" t="str">
        <f>IF(ABS(SUM($A$43:A56))&gt;1, "ALARM","")</f>
        <v/>
      </c>
      <c r="G56" s="171"/>
    </row>
    <row r="57" spans="1:7" ht="12.75" customHeight="1" x14ac:dyDescent="0.2">
      <c r="A57" s="444"/>
      <c r="B57" s="165" t="str">
        <f>IF(C57&lt;D57,"ALARM!   Breite zu klein", TEXT(C57-D57+0.5,"#0,0")&amp;"                      "&amp;" 1   ")</f>
        <v xml:space="preserve">1,0                       1   </v>
      </c>
      <c r="C57" s="161">
        <f t="shared" si="5"/>
        <v>4.5</v>
      </c>
      <c r="D57" s="161">
        <f>ROUNDUP(H34/500*$H$30,1)*5</f>
        <v>3.9999999999999996</v>
      </c>
      <c r="E57" s="172"/>
      <c r="F57" s="153" t="str">
        <f>IF(ABS(SUM($A$43:A57))&gt;1, "ALARM","")</f>
        <v/>
      </c>
      <c r="G57" s="173"/>
    </row>
    <row r="58" spans="1:7" ht="12.75" customHeight="1" thickBot="1" x14ac:dyDescent="0.25">
      <c r="A58" s="445"/>
      <c r="B58" s="163" t="str">
        <f>IF(C58&lt;D58,"ALARM!   Breite zu klein", TEXT(C58-D58+0.5,"#0,0")&amp;"                      "&amp;" 0   ")</f>
        <v xml:space="preserve">4,0                       0   </v>
      </c>
      <c r="C58" s="159">
        <f>D57-0.5</f>
        <v>3.4999999999999996</v>
      </c>
      <c r="D58" s="162">
        <v>0</v>
      </c>
      <c r="E58" s="174"/>
      <c r="F58" s="174" t="str">
        <f>IF(ABS(SUM($A$43:A58))&gt;1, "ALARM","")</f>
        <v/>
      </c>
      <c r="G58" s="175"/>
    </row>
    <row r="59" spans="1:7" x14ac:dyDescent="0.2">
      <c r="B59" s="166"/>
    </row>
  </sheetData>
  <sheetProtection algorithmName="SHA-512" hashValue="AUJqAJDuIeyAvkigTV4gX8ZQjuEd9rXqcUff1799knf1qjsogcNrOZhHgvmnCgZg2x0FTbowW6SDS0D5AzUFlw==" saltValue="Lqr6ZjWSVfmdYiymiI8f9g=="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91" priority="1" operator="equal">
      <formula>"ALARM!   Breite zu klein"</formula>
    </cfRule>
  </conditionalFormatting>
  <conditionalFormatting sqref="D4:D38">
    <cfRule type="expression" dxfId="90" priority="3" stopIfTrue="1">
      <formula>$H$3="Punkte"</formula>
    </cfRule>
    <cfRule type="expression" dxfId="89" priority="4" stopIfTrue="1">
      <formula>$H$3="BE"</formula>
    </cfRule>
  </conditionalFormatting>
  <conditionalFormatting sqref="F43:F58">
    <cfRule type="cellIs" dxfId="88" priority="2" operator="equal">
      <formula>"ALARM"</formula>
    </cfRule>
  </conditionalFormatting>
  <dataValidations count="2">
    <dataValidation type="list" allowBlank="1" showInputMessage="1" showErrorMessage="1" sqref="H3" xr:uid="{00000000-0002-0000-0300-000000000000}">
      <formula1>"BE,Punkte"</formula1>
    </dataValidation>
    <dataValidation type="list" allowBlank="1" showInputMessage="1" showErrorMessage="1" sqref="H32" xr:uid="{00000000-0002-0000-0300-000001000000}">
      <formula1>"E,M"</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6">
    <tabColor rgb="FFFFCC66"/>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69</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t="str">
        <f>IF('1. Halbjahr'!K1="","",'1. Halbjahr'!K1)</f>
        <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18</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18</v>
      </c>
      <c r="D43" s="160">
        <f>C44+0.5</f>
        <v>17.5</v>
      </c>
      <c r="E43" s="167"/>
      <c r="F43" s="168" t="str">
        <f>IF(ABS(SUM($A$43:A43))&gt;1, "ALARM","")</f>
        <v/>
      </c>
      <c r="G43" s="169"/>
    </row>
    <row r="44" spans="1:13" ht="12.75" customHeight="1" x14ac:dyDescent="0.2">
      <c r="A44" s="443"/>
      <c r="B44" s="164" t="str">
        <f>IF(C44&lt;D44,"ALARM!   Breite zu klein", TEXT(C44-D44+0.5,"#0,0")&amp;"                      "&amp;"14   ")</f>
        <v xml:space="preserve">1,0                      14   </v>
      </c>
      <c r="C44" s="158">
        <f t="shared" ref="C44:C57" si="5">ROUNDDOWN(Q5/500*$H$30, 1)*5</f>
        <v>17</v>
      </c>
      <c r="D44" s="158">
        <f t="shared" ref="D44:D56" si="6">C45+0.5</f>
        <v>16.5</v>
      </c>
      <c r="E44" s="170"/>
      <c r="F44" s="153" t="str">
        <f>IF(ABS(SUM($A$43:A44))&gt;1, "ALARM","")</f>
        <v/>
      </c>
      <c r="G44" s="171"/>
    </row>
    <row r="45" spans="1:13" ht="12.75" customHeight="1" x14ac:dyDescent="0.2">
      <c r="A45" s="444"/>
      <c r="B45" s="165" t="str">
        <f>IF(C45&lt;D45,"ALARM!   Breite zu klein", TEXT(C45-D45+0.5,"#0,0")&amp;"                      "&amp;"13   ")</f>
        <v xml:space="preserve">1,0                      13   </v>
      </c>
      <c r="C45" s="161">
        <f t="shared" si="5"/>
        <v>16</v>
      </c>
      <c r="D45" s="161">
        <f t="shared" si="6"/>
        <v>15.5</v>
      </c>
      <c r="E45" s="170"/>
      <c r="F45" s="153" t="str">
        <f>IF(ABS(SUM($A$43:A45))&gt;1, "ALARM","")</f>
        <v/>
      </c>
      <c r="G45" s="171"/>
    </row>
    <row r="46" spans="1:13" ht="12.75" customHeight="1" x14ac:dyDescent="0.2">
      <c r="A46" s="443"/>
      <c r="B46" s="163" t="str">
        <f>IF(C46&lt;D46,"ALARM!   Breite zu klein", TEXT(C46-D46+0.5,"#0,0")&amp;"                      "&amp;"12   ")</f>
        <v xml:space="preserve">1,0                      12   </v>
      </c>
      <c r="C46" s="160">
        <f t="shared" si="5"/>
        <v>15</v>
      </c>
      <c r="D46" s="160">
        <f t="shared" si="6"/>
        <v>14.5</v>
      </c>
      <c r="E46" s="167"/>
      <c r="F46" s="168" t="str">
        <f>IF(ABS(SUM($A$43:A46))&gt;1, "ALARM","")</f>
        <v/>
      </c>
      <c r="G46" s="169"/>
    </row>
    <row r="47" spans="1:13" ht="12.75" customHeight="1" x14ac:dyDescent="0.2">
      <c r="A47" s="443"/>
      <c r="B47" s="164" t="str">
        <f>IF(C47&lt;D47,"ALARM!   Breite zu klein", TEXT(C47-D47+0.5,"#0,0")&amp;"                      "&amp;"11   ")</f>
        <v xml:space="preserve">0,5                      11   </v>
      </c>
      <c r="C47" s="158">
        <f t="shared" si="5"/>
        <v>14</v>
      </c>
      <c r="D47" s="158">
        <f t="shared" si="6"/>
        <v>14</v>
      </c>
      <c r="E47" s="170"/>
      <c r="F47" s="153" t="str">
        <f>IF(ABS(SUM($A$43:A47))&gt;1, "ALARM","")</f>
        <v/>
      </c>
      <c r="G47" s="171"/>
    </row>
    <row r="48" spans="1:13" ht="12.75" customHeight="1" x14ac:dyDescent="0.2">
      <c r="A48" s="443"/>
      <c r="B48" s="165" t="str">
        <f>IF(C48&lt;D48,"ALARM!   Breite zu klein", TEXT(C48-D48+0.5,"#0,0")&amp;"                      "&amp;"10   ")</f>
        <v xml:space="preserve">1,0                      10   </v>
      </c>
      <c r="C48" s="161">
        <f t="shared" si="5"/>
        <v>13.5</v>
      </c>
      <c r="D48" s="161">
        <f t="shared" si="6"/>
        <v>13</v>
      </c>
      <c r="E48" s="170"/>
      <c r="F48" s="153" t="str">
        <f>IF(ABS(SUM($A$43:A48))&gt;1, "ALARM","")</f>
        <v/>
      </c>
      <c r="G48" s="171"/>
    </row>
    <row r="49" spans="1:7" ht="12.75" customHeight="1" x14ac:dyDescent="0.2">
      <c r="A49" s="442"/>
      <c r="B49" s="163" t="str">
        <f>IF(C49&lt;D49,"ALARM!   Breite zu klein", TEXT(C49-D49+0.5,"#0,0")&amp;"                      "&amp;" 9   ")</f>
        <v xml:space="preserve">1,0                       9   </v>
      </c>
      <c r="C49" s="160">
        <f t="shared" si="5"/>
        <v>12.5</v>
      </c>
      <c r="D49" s="160">
        <f t="shared" si="6"/>
        <v>12</v>
      </c>
      <c r="E49" s="167"/>
      <c r="F49" s="168" t="str">
        <f>IF(ABS(SUM($A$43:A49))&gt;1, "ALARM","")</f>
        <v/>
      </c>
      <c r="G49" s="169"/>
    </row>
    <row r="50" spans="1:7" ht="12.75" customHeight="1" x14ac:dyDescent="0.2">
      <c r="A50" s="443"/>
      <c r="B50" s="164" t="str">
        <f>IF(C50&lt;D50,"ALARM!   Breite zu klein", TEXT(C50-D50+0.5,"#0,0")&amp;"                      "&amp;" 8   ")</f>
        <v xml:space="preserve">1,0                       8   </v>
      </c>
      <c r="C50" s="158">
        <f t="shared" si="5"/>
        <v>11.5</v>
      </c>
      <c r="D50" s="158">
        <f t="shared" si="6"/>
        <v>11</v>
      </c>
      <c r="E50" s="170"/>
      <c r="F50" s="153" t="str">
        <f>IF(ABS(SUM($A$43:A50))&gt;1, "ALARM","")</f>
        <v/>
      </c>
      <c r="G50" s="171"/>
    </row>
    <row r="51" spans="1:7" ht="12.75" customHeight="1" x14ac:dyDescent="0.2">
      <c r="A51" s="444"/>
      <c r="B51" s="165" t="str">
        <f>IF(C51&lt;D51,"ALARM!   Breite zu klein", TEXT(C51-D51+0.5,"#0,0")&amp;"                      "&amp;" 7   ")</f>
        <v xml:space="preserve">1,0                       7   </v>
      </c>
      <c r="C51" s="161">
        <f t="shared" si="5"/>
        <v>10.5</v>
      </c>
      <c r="D51" s="161">
        <f t="shared" si="6"/>
        <v>10</v>
      </c>
      <c r="E51" s="170"/>
      <c r="F51" s="153" t="str">
        <f>IF(ABS(SUM($A$43:A51))&gt;1, "ALARM","")</f>
        <v/>
      </c>
      <c r="G51" s="171"/>
    </row>
    <row r="52" spans="1:7" ht="12.75" customHeight="1" x14ac:dyDescent="0.2">
      <c r="A52" s="443"/>
      <c r="B52" s="163" t="str">
        <f>IF(C52&lt;D52,"ALARM!   Breite zu klein", TEXT(C52-D52+0.5,"#0,0")&amp;"                      "&amp;" 6   ")</f>
        <v xml:space="preserve">0,5                       6   </v>
      </c>
      <c r="C52" s="160">
        <f t="shared" si="5"/>
        <v>9.5</v>
      </c>
      <c r="D52" s="160">
        <f t="shared" si="6"/>
        <v>9.5</v>
      </c>
      <c r="E52" s="167"/>
      <c r="F52" s="168" t="str">
        <f>IF(ABS(SUM($A$43:A52))&gt;1, "ALARM","")</f>
        <v/>
      </c>
      <c r="G52" s="169"/>
    </row>
    <row r="53" spans="1:7" ht="12.75" customHeight="1" x14ac:dyDescent="0.2">
      <c r="A53" s="443"/>
      <c r="B53" s="164" t="str">
        <f>IF(C53&lt;D53,"ALARM!   Breite zu klein", TEXT(C53-D53+0.5,"#0,0")&amp;"                      "&amp;" 5   ")</f>
        <v xml:space="preserve">1,0                       5   </v>
      </c>
      <c r="C53" s="158">
        <f t="shared" si="5"/>
        <v>9</v>
      </c>
      <c r="D53" s="158">
        <f t="shared" si="6"/>
        <v>8.5</v>
      </c>
      <c r="E53" s="170"/>
      <c r="F53" s="153" t="str">
        <f>IF(ABS(SUM($A$43:A53))&gt;1, "ALARM","")</f>
        <v/>
      </c>
      <c r="G53" s="171"/>
    </row>
    <row r="54" spans="1:7" ht="12.75" customHeight="1" x14ac:dyDescent="0.2">
      <c r="A54" s="443"/>
      <c r="B54" s="165" t="str">
        <f>IF(C54&lt;D54,"ALARM!   Breite zu klein", TEXT(C54-D54+0.5,"#0,0")&amp;"                      "&amp;" 4   ")</f>
        <v xml:space="preserve">1,0                       4   </v>
      </c>
      <c r="C54" s="161">
        <f t="shared" si="5"/>
        <v>8</v>
      </c>
      <c r="D54" s="161">
        <f t="shared" si="6"/>
        <v>7.5</v>
      </c>
      <c r="E54" s="170"/>
      <c r="F54" s="153" t="str">
        <f>IF(ABS(SUM($A$43:A54))&gt;1, "ALARM","")</f>
        <v/>
      </c>
      <c r="G54" s="171"/>
    </row>
    <row r="55" spans="1:7" ht="12.75" customHeight="1" x14ac:dyDescent="0.2">
      <c r="A55" s="442"/>
      <c r="B55" s="163" t="str">
        <f>IF(C55&lt;D55,"ALARM!   Breite zu klein", TEXT(C55-D55+0.5,"#0,0")&amp;"                      "&amp;" 3   ")</f>
        <v xml:space="preserve">1,0                       3   </v>
      </c>
      <c r="C55" s="160">
        <f t="shared" si="5"/>
        <v>7</v>
      </c>
      <c r="D55" s="160">
        <f t="shared" si="6"/>
        <v>6.5</v>
      </c>
      <c r="E55" s="167"/>
      <c r="F55" s="168" t="str">
        <f>IF(ABS(SUM($A$43:A55))&gt;1, "ALARM","")</f>
        <v/>
      </c>
      <c r="G55" s="169"/>
    </row>
    <row r="56" spans="1:7" ht="12.75" customHeight="1" x14ac:dyDescent="0.2">
      <c r="A56" s="443"/>
      <c r="B56" s="164" t="str">
        <f>IF(C56&lt;D56,"ALARM!   Breite zu klein", TEXT(C56-D56+0.5,"#0,0")&amp;"                      "&amp;" 2   ")</f>
        <v xml:space="preserve">1,5                       2   </v>
      </c>
      <c r="C56" s="158">
        <f t="shared" si="5"/>
        <v>6</v>
      </c>
      <c r="D56" s="158">
        <f t="shared" si="6"/>
        <v>5</v>
      </c>
      <c r="E56" s="170"/>
      <c r="F56" s="153" t="str">
        <f>IF(ABS(SUM($A$43:A56))&gt;1, "ALARM","")</f>
        <v/>
      </c>
      <c r="G56" s="171"/>
    </row>
    <row r="57" spans="1:7" ht="12.75" customHeight="1" x14ac:dyDescent="0.2">
      <c r="A57" s="444"/>
      <c r="B57" s="165" t="str">
        <f>IF(C57&lt;D57,"ALARM!   Breite zu klein", TEXT(C57-D57+0.5,"#0,0")&amp;"                      "&amp;" 1   ")</f>
        <v xml:space="preserve">1,0                       1   </v>
      </c>
      <c r="C57" s="161">
        <f t="shared" si="5"/>
        <v>4.5</v>
      </c>
      <c r="D57" s="161">
        <f>ROUNDUP(H34/500*$H$30,1)*5</f>
        <v>3.9999999999999996</v>
      </c>
      <c r="E57" s="172"/>
      <c r="F57" s="153" t="str">
        <f>IF(ABS(SUM($A$43:A57))&gt;1, "ALARM","")</f>
        <v/>
      </c>
      <c r="G57" s="173"/>
    </row>
    <row r="58" spans="1:7" ht="12.75" customHeight="1" thickBot="1" x14ac:dyDescent="0.25">
      <c r="A58" s="445"/>
      <c r="B58" s="163" t="str">
        <f>IF(C58&lt;D58,"ALARM!   Breite zu klein", TEXT(C58-D58+0.5,"#0,0")&amp;"                      "&amp;" 0   ")</f>
        <v xml:space="preserve">4,0                       0   </v>
      </c>
      <c r="C58" s="159">
        <f>D57-0.5</f>
        <v>3.4999999999999996</v>
      </c>
      <c r="D58" s="162">
        <v>0</v>
      </c>
      <c r="E58" s="174"/>
      <c r="F58" s="174" t="str">
        <f>IF(ABS(SUM($A$43:A58))&gt;1, "ALARM","")</f>
        <v/>
      </c>
      <c r="G58" s="175"/>
    </row>
    <row r="59" spans="1:7" x14ac:dyDescent="0.2">
      <c r="B59" s="166"/>
    </row>
  </sheetData>
  <sheetProtection algorithmName="SHA-512" hashValue="hDT4AaSPN/nrEM6m1f6wNG/TiYkI7n7OpxOhxXB0KrTOrcm5gd+j1Wrth8sRR6FhWEyxc+un3GwHesJqbhlQSw==" saltValue="e6Z3qFSJwJlJhaG3Tgnw4Q=="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87" priority="1" operator="equal">
      <formula>"ALARM!   Breite zu klein"</formula>
    </cfRule>
  </conditionalFormatting>
  <conditionalFormatting sqref="D4:D38">
    <cfRule type="expression" dxfId="86" priority="3" stopIfTrue="1">
      <formula>$H$3="Punkte"</formula>
    </cfRule>
    <cfRule type="expression" dxfId="85" priority="4" stopIfTrue="1">
      <formula>$H$3="BE"</formula>
    </cfRule>
  </conditionalFormatting>
  <conditionalFormatting sqref="F43:F58">
    <cfRule type="cellIs" dxfId="84" priority="2" operator="equal">
      <formula>"ALARM"</formula>
    </cfRule>
  </conditionalFormatting>
  <dataValidations count="2">
    <dataValidation type="list" allowBlank="1" showInputMessage="1" showErrorMessage="1" sqref="H32" xr:uid="{00000000-0002-0000-0400-000000000000}">
      <formula1>"E,M"</formula1>
    </dataValidation>
    <dataValidation type="list" allowBlank="1" showInputMessage="1" showErrorMessage="1" sqref="H3" xr:uid="{00000000-0002-0000-0400-000001000000}">
      <formula1>"BE,Punkte"</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7">
    <tabColor rgb="FF66FF33"/>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70</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t="str">
        <f>IF('1. Halbjahr'!K1="","",'1. Halbjahr'!K1)</f>
        <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12</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12</v>
      </c>
      <c r="D43" s="160">
        <f>C44+0.5</f>
        <v>11.5</v>
      </c>
      <c r="E43" s="167"/>
      <c r="F43" s="168" t="str">
        <f>IF(ABS(SUM($A$43:A43))&gt;1, "ALARM","")</f>
        <v/>
      </c>
      <c r="G43" s="169"/>
    </row>
    <row r="44" spans="1:13" ht="12.75" customHeight="1" x14ac:dyDescent="0.2">
      <c r="A44" s="443"/>
      <c r="B44" s="164" t="str">
        <f>IF(C44&lt;D44,"ALARM!   Breite zu klein", TEXT(C44-D44+0.5,"#0,0")&amp;"                      "&amp;"14   ")</f>
        <v xml:space="preserve">0,5                      14   </v>
      </c>
      <c r="C44" s="158">
        <f t="shared" ref="C44:C57" si="5">ROUNDDOWN(Q5/500*$H$30, 1)*5</f>
        <v>11</v>
      </c>
      <c r="D44" s="158">
        <f t="shared" ref="D44:D56" si="6">C45+0.5</f>
        <v>11</v>
      </c>
      <c r="E44" s="170"/>
      <c r="F44" s="153" t="str">
        <f>IF(ABS(SUM($A$43:A44))&gt;1, "ALARM","")</f>
        <v/>
      </c>
      <c r="G44" s="171"/>
    </row>
    <row r="45" spans="1:13" ht="12.75" customHeight="1" x14ac:dyDescent="0.2">
      <c r="A45" s="444"/>
      <c r="B45" s="165" t="str">
        <f>IF(C45&lt;D45,"ALARM!   Breite zu klein", TEXT(C45-D45+0.5,"#0,0")&amp;"                      "&amp;"13   ")</f>
        <v xml:space="preserve">0,5                      13   </v>
      </c>
      <c r="C45" s="161">
        <f t="shared" si="5"/>
        <v>10.5</v>
      </c>
      <c r="D45" s="161">
        <f t="shared" si="6"/>
        <v>10.5</v>
      </c>
      <c r="E45" s="170"/>
      <c r="F45" s="153" t="str">
        <f>IF(ABS(SUM($A$43:A45))&gt;1, "ALARM","")</f>
        <v/>
      </c>
      <c r="G45" s="171"/>
    </row>
    <row r="46" spans="1:13" ht="12.75" customHeight="1" x14ac:dyDescent="0.2">
      <c r="A46" s="443"/>
      <c r="B46" s="163" t="str">
        <f>IF(C46&lt;D46,"ALARM!   Breite zu klein", TEXT(C46-D46+0.5,"#0,0")&amp;"                      "&amp;"12   ")</f>
        <v xml:space="preserve">0,5                      12   </v>
      </c>
      <c r="C46" s="160">
        <f t="shared" si="5"/>
        <v>10</v>
      </c>
      <c r="D46" s="160">
        <f t="shared" si="6"/>
        <v>10</v>
      </c>
      <c r="E46" s="167"/>
      <c r="F46" s="168" t="str">
        <f>IF(ABS(SUM($A$43:A46))&gt;1, "ALARM","")</f>
        <v/>
      </c>
      <c r="G46" s="169"/>
    </row>
    <row r="47" spans="1:13" ht="12.75" customHeight="1" x14ac:dyDescent="0.2">
      <c r="A47" s="443"/>
      <c r="B47" s="164" t="str">
        <f>IF(C47&lt;D47,"ALARM!   Breite zu klein", TEXT(C47-D47+0.5,"#0,0")&amp;"                      "&amp;"11   ")</f>
        <v xml:space="preserve">0,5                      11   </v>
      </c>
      <c r="C47" s="158">
        <f t="shared" si="5"/>
        <v>9.5</v>
      </c>
      <c r="D47" s="158">
        <f t="shared" si="6"/>
        <v>9.5</v>
      </c>
      <c r="E47" s="170"/>
      <c r="F47" s="153" t="str">
        <f>IF(ABS(SUM($A$43:A47))&gt;1, "ALARM","")</f>
        <v/>
      </c>
      <c r="G47" s="171"/>
    </row>
    <row r="48" spans="1:13" ht="12.75" customHeight="1" x14ac:dyDescent="0.2">
      <c r="A48" s="443"/>
      <c r="B48" s="165" t="str">
        <f>IF(C48&lt;D48,"ALARM!   Breite zu klein", TEXT(C48-D48+0.5,"#0,0")&amp;"                      "&amp;"10   ")</f>
        <v xml:space="preserve">1,0                      10   </v>
      </c>
      <c r="C48" s="161">
        <f t="shared" si="5"/>
        <v>9</v>
      </c>
      <c r="D48" s="161">
        <f t="shared" si="6"/>
        <v>8.5</v>
      </c>
      <c r="E48" s="170"/>
      <c r="F48" s="153" t="str">
        <f>IF(ABS(SUM($A$43:A48))&gt;1, "ALARM","")</f>
        <v/>
      </c>
      <c r="G48" s="171"/>
    </row>
    <row r="49" spans="1:7" ht="12.75" customHeight="1" x14ac:dyDescent="0.2">
      <c r="A49" s="442"/>
      <c r="B49" s="163" t="str">
        <f>IF(C49&lt;D49,"ALARM!   Breite zu klein", TEXT(C49-D49+0.5,"#0,0")&amp;"                      "&amp;" 9   ")</f>
        <v xml:space="preserve">0,5                       9   </v>
      </c>
      <c r="C49" s="160">
        <f t="shared" si="5"/>
        <v>8</v>
      </c>
      <c r="D49" s="160">
        <f t="shared" si="6"/>
        <v>8</v>
      </c>
      <c r="E49" s="167"/>
      <c r="F49" s="168" t="str">
        <f>IF(ABS(SUM($A$43:A49))&gt;1, "ALARM","")</f>
        <v/>
      </c>
      <c r="G49" s="169"/>
    </row>
    <row r="50" spans="1:7" ht="12.75" customHeight="1" x14ac:dyDescent="0.2">
      <c r="A50" s="443"/>
      <c r="B50" s="164" t="str">
        <f>IF(C50&lt;D50,"ALARM!   Breite zu klein", TEXT(C50-D50+0.5,"#0,0")&amp;"                      "&amp;" 8   ")</f>
        <v xml:space="preserve">0,5                       8   </v>
      </c>
      <c r="C50" s="158">
        <f t="shared" si="5"/>
        <v>7.5</v>
      </c>
      <c r="D50" s="158">
        <f t="shared" si="6"/>
        <v>7.5</v>
      </c>
      <c r="E50" s="170"/>
      <c r="F50" s="153" t="str">
        <f>IF(ABS(SUM($A$43:A50))&gt;1, "ALARM","")</f>
        <v/>
      </c>
      <c r="G50" s="171"/>
    </row>
    <row r="51" spans="1:7" ht="12.75" customHeight="1" x14ac:dyDescent="0.2">
      <c r="A51" s="444"/>
      <c r="B51" s="165" t="str">
        <f>IF(C51&lt;D51,"ALARM!   Breite zu klein", TEXT(C51-D51+0.5,"#0,0")&amp;"                      "&amp;" 7   ")</f>
        <v xml:space="preserve">0,5                       7   </v>
      </c>
      <c r="C51" s="161">
        <f t="shared" si="5"/>
        <v>7</v>
      </c>
      <c r="D51" s="161">
        <f t="shared" si="6"/>
        <v>7</v>
      </c>
      <c r="E51" s="170"/>
      <c r="F51" s="153" t="str">
        <f>IF(ABS(SUM($A$43:A51))&gt;1, "ALARM","")</f>
        <v/>
      </c>
      <c r="G51" s="171"/>
    </row>
    <row r="52" spans="1:7" ht="12.75" customHeight="1" x14ac:dyDescent="0.2">
      <c r="A52" s="443"/>
      <c r="B52" s="163" t="str">
        <f>IF(C52&lt;D52,"ALARM!   Breite zu klein", TEXT(C52-D52+0.5,"#0,0")&amp;"                      "&amp;" 6   ")</f>
        <v xml:space="preserve">0,5                       6   </v>
      </c>
      <c r="C52" s="160">
        <f t="shared" si="5"/>
        <v>6.5</v>
      </c>
      <c r="D52" s="160">
        <f t="shared" si="6"/>
        <v>6.5</v>
      </c>
      <c r="E52" s="167"/>
      <c r="F52" s="168" t="str">
        <f>IF(ABS(SUM($A$43:A52))&gt;1, "ALARM","")</f>
        <v/>
      </c>
      <c r="G52" s="169"/>
    </row>
    <row r="53" spans="1:7" ht="12.75" customHeight="1" x14ac:dyDescent="0.2">
      <c r="A53" s="443"/>
      <c r="B53" s="164" t="str">
        <f>IF(C53&lt;D53,"ALARM!   Breite zu klein", TEXT(C53-D53+0.5,"#0,0")&amp;"                      "&amp;" 5   ")</f>
        <v xml:space="preserve">1,0                       5   </v>
      </c>
      <c r="C53" s="158">
        <f t="shared" si="5"/>
        <v>6</v>
      </c>
      <c r="D53" s="158">
        <f t="shared" si="6"/>
        <v>5.5</v>
      </c>
      <c r="E53" s="170"/>
      <c r="F53" s="153" t="str">
        <f>IF(ABS(SUM($A$43:A53))&gt;1, "ALARM","")</f>
        <v/>
      </c>
      <c r="G53" s="171"/>
    </row>
    <row r="54" spans="1:7" ht="12.75" customHeight="1" x14ac:dyDescent="0.2">
      <c r="A54" s="443"/>
      <c r="B54" s="165" t="str">
        <f>IF(C54&lt;D54,"ALARM!   Breite zu klein", TEXT(C54-D54+0.5,"#0,0")&amp;"                      "&amp;" 4   ")</f>
        <v xml:space="preserve">0,5                       4   </v>
      </c>
      <c r="C54" s="161">
        <f t="shared" si="5"/>
        <v>5</v>
      </c>
      <c r="D54" s="161">
        <f t="shared" si="6"/>
        <v>5</v>
      </c>
      <c r="E54" s="170"/>
      <c r="F54" s="153" t="str">
        <f>IF(ABS(SUM($A$43:A54))&gt;1, "ALARM","")</f>
        <v/>
      </c>
      <c r="G54" s="171"/>
    </row>
    <row r="55" spans="1:7" ht="12.75" customHeight="1" x14ac:dyDescent="0.2">
      <c r="A55" s="442"/>
      <c r="B55" s="163" t="str">
        <f>IF(C55&lt;D55,"ALARM!   Breite zu klein", TEXT(C55-D55+0.5,"#0,0")&amp;"                      "&amp;" 3   ")</f>
        <v xml:space="preserve">0,5                       3   </v>
      </c>
      <c r="C55" s="160">
        <f t="shared" si="5"/>
        <v>4.5</v>
      </c>
      <c r="D55" s="160">
        <f t="shared" si="6"/>
        <v>4.5</v>
      </c>
      <c r="E55" s="167"/>
      <c r="F55" s="168" t="str">
        <f>IF(ABS(SUM($A$43:A55))&gt;1, "ALARM","")</f>
        <v/>
      </c>
      <c r="G55" s="169"/>
    </row>
    <row r="56" spans="1:7" ht="12.75" customHeight="1" x14ac:dyDescent="0.2">
      <c r="A56" s="443"/>
      <c r="B56" s="164" t="str">
        <f>IF(C56&lt;D56,"ALARM!   Breite zu klein", TEXT(C56-D56+0.5,"#0,0")&amp;"                      "&amp;" 2   ")</f>
        <v xml:space="preserve">1,0                       2   </v>
      </c>
      <c r="C56" s="158">
        <f t="shared" si="5"/>
        <v>4</v>
      </c>
      <c r="D56" s="158">
        <f t="shared" si="6"/>
        <v>3.5</v>
      </c>
      <c r="E56" s="170"/>
      <c r="F56" s="153" t="str">
        <f>IF(ABS(SUM($A$43:A56))&gt;1, "ALARM","")</f>
        <v/>
      </c>
      <c r="G56" s="171"/>
    </row>
    <row r="57" spans="1:7" ht="12.75" customHeight="1" x14ac:dyDescent="0.2">
      <c r="A57" s="444"/>
      <c r="B57" s="165" t="str">
        <f>IF(C57&lt;D57,"ALARM!   Breite zu klein", TEXT(C57-D57+0.5,"#0,0")&amp;"                      "&amp;" 1   ")</f>
        <v xml:space="preserve">1,0                       1   </v>
      </c>
      <c r="C57" s="161">
        <f t="shared" si="5"/>
        <v>3</v>
      </c>
      <c r="D57" s="161">
        <f>ROUNDUP(H34/500*$H$30,1)*5</f>
        <v>2.5</v>
      </c>
      <c r="E57" s="172"/>
      <c r="F57" s="153" t="str">
        <f>IF(ABS(SUM($A$43:A57))&gt;1, "ALARM","")</f>
        <v/>
      </c>
      <c r="G57" s="173"/>
    </row>
    <row r="58" spans="1:7" ht="12.75" customHeight="1" thickBot="1" x14ac:dyDescent="0.25">
      <c r="A58" s="445"/>
      <c r="B58" s="163" t="str">
        <f>IF(C58&lt;D58,"ALARM!   Breite zu klein", TEXT(C58-D58+0.5,"#0,0")&amp;"                      "&amp;" 0   ")</f>
        <v xml:space="preserve">2,5                       0   </v>
      </c>
      <c r="C58" s="159">
        <f>D57-0.5</f>
        <v>2</v>
      </c>
      <c r="D58" s="162">
        <v>0</v>
      </c>
      <c r="E58" s="174"/>
      <c r="F58" s="174" t="str">
        <f>IF(ABS(SUM($A$43:A58))&gt;1, "ALARM","")</f>
        <v/>
      </c>
      <c r="G58" s="175"/>
    </row>
    <row r="59" spans="1:7" x14ac:dyDescent="0.2">
      <c r="B59" s="166"/>
    </row>
  </sheetData>
  <sheetProtection algorithmName="SHA-512" hashValue="EYHY6f+olad7uoq11FcZ1Muy5ZrHbq36jNxjByLpGabQg/pky7GlJnS5lDoOi4TNqhJAQi0/6XxS70SqxEa3ag==" saltValue="J5EEDFlRiX+t5piX0pCU7g=="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83" priority="1" operator="equal">
      <formula>"ALARM!   Breite zu klein"</formula>
    </cfRule>
  </conditionalFormatting>
  <conditionalFormatting sqref="D4:D38">
    <cfRule type="expression" dxfId="82" priority="3" stopIfTrue="1">
      <formula>$H$3="Punkte"</formula>
    </cfRule>
    <cfRule type="expression" dxfId="81" priority="4" stopIfTrue="1">
      <formula>$H$3="BE"</formula>
    </cfRule>
  </conditionalFormatting>
  <conditionalFormatting sqref="F43:F58">
    <cfRule type="cellIs" dxfId="80" priority="2" operator="equal">
      <formula>"ALARM"</formula>
    </cfRule>
  </conditionalFormatting>
  <dataValidations count="2">
    <dataValidation type="list" allowBlank="1" showInputMessage="1" showErrorMessage="1" sqref="H32" xr:uid="{00000000-0002-0000-0500-000000000000}">
      <formula1>"E,M"</formula1>
    </dataValidation>
    <dataValidation type="list" allowBlank="1" showInputMessage="1" showErrorMessage="1" sqref="H3" xr:uid="{00000000-0002-0000-0500-000001000000}">
      <formula1>"BE,Punkte"</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8">
    <tabColor rgb="FF66FF33"/>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71</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t="str">
        <f>IF('1. Halbjahr'!K1="","",'1. Halbjahr'!K1)</f>
        <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12</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12</v>
      </c>
      <c r="D43" s="160">
        <f>C44+0.5</f>
        <v>11.5</v>
      </c>
      <c r="E43" s="167"/>
      <c r="F43" s="168" t="str">
        <f>IF(ABS(SUM($A$43:A43))&gt;1, "ALARM","")</f>
        <v/>
      </c>
      <c r="G43" s="169"/>
    </row>
    <row r="44" spans="1:13" ht="12.75" customHeight="1" x14ac:dyDescent="0.2">
      <c r="A44" s="443"/>
      <c r="B44" s="164" t="str">
        <f>IF(C44&lt;D44,"ALARM!   Breite zu klein", TEXT(C44-D44+0.5,"#0,0")&amp;"                      "&amp;"14   ")</f>
        <v xml:space="preserve">0,5                      14   </v>
      </c>
      <c r="C44" s="158">
        <f t="shared" ref="C44:C57" si="5">ROUNDDOWN(Q5/500*$H$30, 1)*5</f>
        <v>11</v>
      </c>
      <c r="D44" s="158">
        <f t="shared" ref="D44:D56" si="6">C45+0.5</f>
        <v>11</v>
      </c>
      <c r="E44" s="170"/>
      <c r="F44" s="153" t="str">
        <f>IF(ABS(SUM($A$43:A44))&gt;1, "ALARM","")</f>
        <v/>
      </c>
      <c r="G44" s="171"/>
    </row>
    <row r="45" spans="1:13" ht="12.75" customHeight="1" x14ac:dyDescent="0.2">
      <c r="A45" s="444"/>
      <c r="B45" s="165" t="str">
        <f>IF(C45&lt;D45,"ALARM!   Breite zu klein", TEXT(C45-D45+0.5,"#0,0")&amp;"                      "&amp;"13   ")</f>
        <v xml:space="preserve">0,5                      13   </v>
      </c>
      <c r="C45" s="161">
        <f t="shared" si="5"/>
        <v>10.5</v>
      </c>
      <c r="D45" s="161">
        <f t="shared" si="6"/>
        <v>10.5</v>
      </c>
      <c r="E45" s="170"/>
      <c r="F45" s="153" t="str">
        <f>IF(ABS(SUM($A$43:A45))&gt;1, "ALARM","")</f>
        <v/>
      </c>
      <c r="G45" s="171"/>
    </row>
    <row r="46" spans="1:13" ht="12.75" customHeight="1" x14ac:dyDescent="0.2">
      <c r="A46" s="443"/>
      <c r="B46" s="163" t="str">
        <f>IF(C46&lt;D46,"ALARM!   Breite zu klein", TEXT(C46-D46+0.5,"#0,0")&amp;"                      "&amp;"12   ")</f>
        <v xml:space="preserve">0,5                      12   </v>
      </c>
      <c r="C46" s="160">
        <f t="shared" si="5"/>
        <v>10</v>
      </c>
      <c r="D46" s="160">
        <f t="shared" si="6"/>
        <v>10</v>
      </c>
      <c r="E46" s="167"/>
      <c r="F46" s="168" t="str">
        <f>IF(ABS(SUM($A$43:A46))&gt;1, "ALARM","")</f>
        <v/>
      </c>
      <c r="G46" s="169"/>
    </row>
    <row r="47" spans="1:13" ht="12.75" customHeight="1" x14ac:dyDescent="0.2">
      <c r="A47" s="443"/>
      <c r="B47" s="164" t="str">
        <f>IF(C47&lt;D47,"ALARM!   Breite zu klein", TEXT(C47-D47+0.5,"#0,0")&amp;"                      "&amp;"11   ")</f>
        <v xml:space="preserve">0,5                      11   </v>
      </c>
      <c r="C47" s="158">
        <f t="shared" si="5"/>
        <v>9.5</v>
      </c>
      <c r="D47" s="158">
        <f t="shared" si="6"/>
        <v>9.5</v>
      </c>
      <c r="E47" s="170"/>
      <c r="F47" s="153" t="str">
        <f>IF(ABS(SUM($A$43:A47))&gt;1, "ALARM","")</f>
        <v/>
      </c>
      <c r="G47" s="171"/>
    </row>
    <row r="48" spans="1:13" ht="12.75" customHeight="1" x14ac:dyDescent="0.2">
      <c r="A48" s="443"/>
      <c r="B48" s="165" t="str">
        <f>IF(C48&lt;D48,"ALARM!   Breite zu klein", TEXT(C48-D48+0.5,"#0,0")&amp;"                      "&amp;"10   ")</f>
        <v xml:space="preserve">1,0                      10   </v>
      </c>
      <c r="C48" s="161">
        <f t="shared" si="5"/>
        <v>9</v>
      </c>
      <c r="D48" s="161">
        <f t="shared" si="6"/>
        <v>8.5</v>
      </c>
      <c r="E48" s="170"/>
      <c r="F48" s="153" t="str">
        <f>IF(ABS(SUM($A$43:A48))&gt;1, "ALARM","")</f>
        <v/>
      </c>
      <c r="G48" s="171"/>
    </row>
    <row r="49" spans="1:7" ht="12.75" customHeight="1" x14ac:dyDescent="0.2">
      <c r="A49" s="442"/>
      <c r="B49" s="163" t="str">
        <f>IF(C49&lt;D49,"ALARM!   Breite zu klein", TEXT(C49-D49+0.5,"#0,0")&amp;"                      "&amp;" 9   ")</f>
        <v xml:space="preserve">0,5                       9   </v>
      </c>
      <c r="C49" s="160">
        <f t="shared" si="5"/>
        <v>8</v>
      </c>
      <c r="D49" s="160">
        <f t="shared" si="6"/>
        <v>8</v>
      </c>
      <c r="E49" s="167"/>
      <c r="F49" s="168" t="str">
        <f>IF(ABS(SUM($A$43:A49))&gt;1, "ALARM","")</f>
        <v/>
      </c>
      <c r="G49" s="169"/>
    </row>
    <row r="50" spans="1:7" ht="12.75" customHeight="1" x14ac:dyDescent="0.2">
      <c r="A50" s="443"/>
      <c r="B50" s="164" t="str">
        <f>IF(C50&lt;D50,"ALARM!   Breite zu klein", TEXT(C50-D50+0.5,"#0,0")&amp;"                      "&amp;" 8   ")</f>
        <v xml:space="preserve">0,5                       8   </v>
      </c>
      <c r="C50" s="158">
        <f t="shared" si="5"/>
        <v>7.5</v>
      </c>
      <c r="D50" s="158">
        <f t="shared" si="6"/>
        <v>7.5</v>
      </c>
      <c r="E50" s="170"/>
      <c r="F50" s="153" t="str">
        <f>IF(ABS(SUM($A$43:A50))&gt;1, "ALARM","")</f>
        <v/>
      </c>
      <c r="G50" s="171"/>
    </row>
    <row r="51" spans="1:7" ht="12.75" customHeight="1" x14ac:dyDescent="0.2">
      <c r="A51" s="444"/>
      <c r="B51" s="165" t="str">
        <f>IF(C51&lt;D51,"ALARM!   Breite zu klein", TEXT(C51-D51+0.5,"#0,0")&amp;"                      "&amp;" 7   ")</f>
        <v xml:space="preserve">0,5                       7   </v>
      </c>
      <c r="C51" s="161">
        <f t="shared" si="5"/>
        <v>7</v>
      </c>
      <c r="D51" s="161">
        <f t="shared" si="6"/>
        <v>7</v>
      </c>
      <c r="E51" s="170"/>
      <c r="F51" s="153" t="str">
        <f>IF(ABS(SUM($A$43:A51))&gt;1, "ALARM","")</f>
        <v/>
      </c>
      <c r="G51" s="171"/>
    </row>
    <row r="52" spans="1:7" ht="12.75" customHeight="1" x14ac:dyDescent="0.2">
      <c r="A52" s="443"/>
      <c r="B52" s="163" t="str">
        <f>IF(C52&lt;D52,"ALARM!   Breite zu klein", TEXT(C52-D52+0.5,"#0,0")&amp;"                      "&amp;" 6   ")</f>
        <v xml:space="preserve">0,5                       6   </v>
      </c>
      <c r="C52" s="160">
        <f t="shared" si="5"/>
        <v>6.5</v>
      </c>
      <c r="D52" s="160">
        <f t="shared" si="6"/>
        <v>6.5</v>
      </c>
      <c r="E52" s="167"/>
      <c r="F52" s="168" t="str">
        <f>IF(ABS(SUM($A$43:A52))&gt;1, "ALARM","")</f>
        <v/>
      </c>
      <c r="G52" s="169"/>
    </row>
    <row r="53" spans="1:7" ht="12.75" customHeight="1" x14ac:dyDescent="0.2">
      <c r="A53" s="443"/>
      <c r="B53" s="164" t="str">
        <f>IF(C53&lt;D53,"ALARM!   Breite zu klein", TEXT(C53-D53+0.5,"#0,0")&amp;"                      "&amp;" 5   ")</f>
        <v xml:space="preserve">1,0                       5   </v>
      </c>
      <c r="C53" s="158">
        <f t="shared" si="5"/>
        <v>6</v>
      </c>
      <c r="D53" s="158">
        <f t="shared" si="6"/>
        <v>5.5</v>
      </c>
      <c r="E53" s="170"/>
      <c r="F53" s="153" t="str">
        <f>IF(ABS(SUM($A$43:A53))&gt;1, "ALARM","")</f>
        <v/>
      </c>
      <c r="G53" s="171"/>
    </row>
    <row r="54" spans="1:7" ht="12.75" customHeight="1" x14ac:dyDescent="0.2">
      <c r="A54" s="443"/>
      <c r="B54" s="165" t="str">
        <f>IF(C54&lt;D54,"ALARM!   Breite zu klein", TEXT(C54-D54+0.5,"#0,0")&amp;"                      "&amp;" 4   ")</f>
        <v xml:space="preserve">0,5                       4   </v>
      </c>
      <c r="C54" s="161">
        <f t="shared" si="5"/>
        <v>5</v>
      </c>
      <c r="D54" s="161">
        <f t="shared" si="6"/>
        <v>5</v>
      </c>
      <c r="E54" s="170"/>
      <c r="F54" s="153" t="str">
        <f>IF(ABS(SUM($A$43:A54))&gt;1, "ALARM","")</f>
        <v/>
      </c>
      <c r="G54" s="171"/>
    </row>
    <row r="55" spans="1:7" ht="12.75" customHeight="1" x14ac:dyDescent="0.2">
      <c r="A55" s="442"/>
      <c r="B55" s="163" t="str">
        <f>IF(C55&lt;D55,"ALARM!   Breite zu klein", TEXT(C55-D55+0.5,"#0,0")&amp;"                      "&amp;" 3   ")</f>
        <v xml:space="preserve">0,5                       3   </v>
      </c>
      <c r="C55" s="160">
        <f t="shared" si="5"/>
        <v>4.5</v>
      </c>
      <c r="D55" s="160">
        <f t="shared" si="6"/>
        <v>4.5</v>
      </c>
      <c r="E55" s="167"/>
      <c r="F55" s="168" t="str">
        <f>IF(ABS(SUM($A$43:A55))&gt;1, "ALARM","")</f>
        <v/>
      </c>
      <c r="G55" s="169"/>
    </row>
    <row r="56" spans="1:7" ht="12.75" customHeight="1" x14ac:dyDescent="0.2">
      <c r="A56" s="443"/>
      <c r="B56" s="164" t="str">
        <f>IF(C56&lt;D56,"ALARM!   Breite zu klein", TEXT(C56-D56+0.5,"#0,0")&amp;"                      "&amp;" 2   ")</f>
        <v xml:space="preserve">1,0                       2   </v>
      </c>
      <c r="C56" s="158">
        <f t="shared" si="5"/>
        <v>4</v>
      </c>
      <c r="D56" s="158">
        <f t="shared" si="6"/>
        <v>3.5</v>
      </c>
      <c r="E56" s="170"/>
      <c r="F56" s="153" t="str">
        <f>IF(ABS(SUM($A$43:A56))&gt;1, "ALARM","")</f>
        <v/>
      </c>
      <c r="G56" s="171"/>
    </row>
    <row r="57" spans="1:7" ht="12.75" customHeight="1" x14ac:dyDescent="0.2">
      <c r="A57" s="444"/>
      <c r="B57" s="165" t="str">
        <f>IF(C57&lt;D57,"ALARM!   Breite zu klein", TEXT(C57-D57+0.5,"#0,0")&amp;"                      "&amp;" 1   ")</f>
        <v xml:space="preserve">1,0                       1   </v>
      </c>
      <c r="C57" s="161">
        <f t="shared" si="5"/>
        <v>3</v>
      </c>
      <c r="D57" s="161">
        <f>ROUNDUP(H34/500*$H$30,1)*5</f>
        <v>2.5</v>
      </c>
      <c r="E57" s="172"/>
      <c r="F57" s="153" t="str">
        <f>IF(ABS(SUM($A$43:A57))&gt;1, "ALARM","")</f>
        <v/>
      </c>
      <c r="G57" s="173"/>
    </row>
    <row r="58" spans="1:7" ht="12.75" customHeight="1" thickBot="1" x14ac:dyDescent="0.25">
      <c r="A58" s="445"/>
      <c r="B58" s="163" t="str">
        <f>IF(C58&lt;D58,"ALARM!   Breite zu klein", TEXT(C58-D58+0.5,"#0,0")&amp;"                      "&amp;" 0   ")</f>
        <v xml:space="preserve">2,5                       0   </v>
      </c>
      <c r="C58" s="159">
        <f>D57-0.5</f>
        <v>2</v>
      </c>
      <c r="D58" s="162">
        <v>0</v>
      </c>
      <c r="E58" s="174"/>
      <c r="F58" s="174" t="str">
        <f>IF(ABS(SUM($A$43:A58))&gt;1, "ALARM","")</f>
        <v/>
      </c>
      <c r="G58" s="175"/>
    </row>
    <row r="59" spans="1:7" x14ac:dyDescent="0.2">
      <c r="B59" s="166"/>
    </row>
  </sheetData>
  <sheetProtection algorithmName="SHA-512" hashValue="qCTJDuE1oknnVBZcXzGJ43eZXVukNhMacW+LWMgydfWqV0HfX4Q937qA8/vToXIFO2KM2j8z7KsdebgiAIInbg==" saltValue="V3StPrf6hFeq88nEqz0dEw=="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79" priority="1" operator="equal">
      <formula>"ALARM!   Breite zu klein"</formula>
    </cfRule>
  </conditionalFormatting>
  <conditionalFormatting sqref="D4:D38">
    <cfRule type="expression" dxfId="78" priority="3" stopIfTrue="1">
      <formula>$H$3="Punkte"</formula>
    </cfRule>
    <cfRule type="expression" dxfId="77" priority="4" stopIfTrue="1">
      <formula>$H$3="BE"</formula>
    </cfRule>
  </conditionalFormatting>
  <conditionalFormatting sqref="F43:F58">
    <cfRule type="cellIs" dxfId="76" priority="2" operator="equal">
      <formula>"ALARM"</formula>
    </cfRule>
  </conditionalFormatting>
  <dataValidations disablePrompts="1" count="2">
    <dataValidation type="list" allowBlank="1" showInputMessage="1" showErrorMessage="1" sqref="H3" xr:uid="{00000000-0002-0000-0600-000000000000}">
      <formula1>"BE,Punkte"</formula1>
    </dataValidation>
    <dataValidation type="list" allowBlank="1" showInputMessage="1" showErrorMessage="1" sqref="H32" xr:uid="{00000000-0002-0000-0600-000001000000}">
      <formula1>"E,M"</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9">
    <tabColor rgb="FF66FF33"/>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72</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t="str">
        <f>IF('1. Halbjahr'!K1="","",'1. Halbjahr'!K1)</f>
        <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12</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12</v>
      </c>
      <c r="D43" s="160">
        <f>C44+0.5</f>
        <v>11.5</v>
      </c>
      <c r="E43" s="167"/>
      <c r="F43" s="168" t="str">
        <f>IF(ABS(SUM($A$43:A43))&gt;1, "ALARM","")</f>
        <v/>
      </c>
      <c r="G43" s="169"/>
    </row>
    <row r="44" spans="1:13" ht="12.75" customHeight="1" x14ac:dyDescent="0.2">
      <c r="A44" s="443"/>
      <c r="B44" s="164" t="str">
        <f>IF(C44&lt;D44,"ALARM!   Breite zu klein", TEXT(C44-D44+0.5,"#0,0")&amp;"                      "&amp;"14   ")</f>
        <v xml:space="preserve">0,5                      14   </v>
      </c>
      <c r="C44" s="158">
        <f t="shared" ref="C44:C57" si="5">ROUNDDOWN(Q5/500*$H$30, 1)*5</f>
        <v>11</v>
      </c>
      <c r="D44" s="158">
        <f t="shared" ref="D44:D56" si="6">C45+0.5</f>
        <v>11</v>
      </c>
      <c r="E44" s="170"/>
      <c r="F44" s="153" t="str">
        <f>IF(ABS(SUM($A$43:A44))&gt;1, "ALARM","")</f>
        <v/>
      </c>
      <c r="G44" s="171"/>
    </row>
    <row r="45" spans="1:13" ht="12.75" customHeight="1" x14ac:dyDescent="0.2">
      <c r="A45" s="444"/>
      <c r="B45" s="165" t="str">
        <f>IF(C45&lt;D45,"ALARM!   Breite zu klein", TEXT(C45-D45+0.5,"#0,0")&amp;"                      "&amp;"13   ")</f>
        <v xml:space="preserve">0,5                      13   </v>
      </c>
      <c r="C45" s="161">
        <f t="shared" si="5"/>
        <v>10.5</v>
      </c>
      <c r="D45" s="161">
        <f t="shared" si="6"/>
        <v>10.5</v>
      </c>
      <c r="E45" s="170"/>
      <c r="F45" s="153" t="str">
        <f>IF(ABS(SUM($A$43:A45))&gt;1, "ALARM","")</f>
        <v/>
      </c>
      <c r="G45" s="171"/>
    </row>
    <row r="46" spans="1:13" ht="12.75" customHeight="1" x14ac:dyDescent="0.2">
      <c r="A46" s="443"/>
      <c r="B46" s="163" t="str">
        <f>IF(C46&lt;D46,"ALARM!   Breite zu klein", TEXT(C46-D46+0.5,"#0,0")&amp;"                      "&amp;"12   ")</f>
        <v xml:space="preserve">0,5                      12   </v>
      </c>
      <c r="C46" s="160">
        <f t="shared" si="5"/>
        <v>10</v>
      </c>
      <c r="D46" s="160">
        <f t="shared" si="6"/>
        <v>10</v>
      </c>
      <c r="E46" s="167"/>
      <c r="F46" s="168" t="str">
        <f>IF(ABS(SUM($A$43:A46))&gt;1, "ALARM","")</f>
        <v/>
      </c>
      <c r="G46" s="169"/>
    </row>
    <row r="47" spans="1:13" ht="12.75" customHeight="1" x14ac:dyDescent="0.2">
      <c r="A47" s="443"/>
      <c r="B47" s="164" t="str">
        <f>IF(C47&lt;D47,"ALARM!   Breite zu klein", TEXT(C47-D47+0.5,"#0,0")&amp;"                      "&amp;"11   ")</f>
        <v xml:space="preserve">0,5                      11   </v>
      </c>
      <c r="C47" s="158">
        <f t="shared" si="5"/>
        <v>9.5</v>
      </c>
      <c r="D47" s="158">
        <f t="shared" si="6"/>
        <v>9.5</v>
      </c>
      <c r="E47" s="170"/>
      <c r="F47" s="153" t="str">
        <f>IF(ABS(SUM($A$43:A47))&gt;1, "ALARM","")</f>
        <v/>
      </c>
      <c r="G47" s="171"/>
    </row>
    <row r="48" spans="1:13" ht="12.75" customHeight="1" x14ac:dyDescent="0.2">
      <c r="A48" s="443"/>
      <c r="B48" s="165" t="str">
        <f>IF(C48&lt;D48,"ALARM!   Breite zu klein", TEXT(C48-D48+0.5,"#0,0")&amp;"                      "&amp;"10   ")</f>
        <v xml:space="preserve">1,0                      10   </v>
      </c>
      <c r="C48" s="161">
        <f t="shared" si="5"/>
        <v>9</v>
      </c>
      <c r="D48" s="161">
        <f t="shared" si="6"/>
        <v>8.5</v>
      </c>
      <c r="E48" s="170"/>
      <c r="F48" s="153" t="str">
        <f>IF(ABS(SUM($A$43:A48))&gt;1, "ALARM","")</f>
        <v/>
      </c>
      <c r="G48" s="171"/>
    </row>
    <row r="49" spans="1:7" ht="12.75" customHeight="1" x14ac:dyDescent="0.2">
      <c r="A49" s="442"/>
      <c r="B49" s="163" t="str">
        <f>IF(C49&lt;D49,"ALARM!   Breite zu klein", TEXT(C49-D49+0.5,"#0,0")&amp;"                      "&amp;" 9   ")</f>
        <v xml:space="preserve">0,5                       9   </v>
      </c>
      <c r="C49" s="160">
        <f t="shared" si="5"/>
        <v>8</v>
      </c>
      <c r="D49" s="160">
        <f t="shared" si="6"/>
        <v>8</v>
      </c>
      <c r="E49" s="167"/>
      <c r="F49" s="168" t="str">
        <f>IF(ABS(SUM($A$43:A49))&gt;1, "ALARM","")</f>
        <v/>
      </c>
      <c r="G49" s="169"/>
    </row>
    <row r="50" spans="1:7" ht="12.75" customHeight="1" x14ac:dyDescent="0.2">
      <c r="A50" s="443"/>
      <c r="B50" s="164" t="str">
        <f>IF(C50&lt;D50,"ALARM!   Breite zu klein", TEXT(C50-D50+0.5,"#0,0")&amp;"                      "&amp;" 8   ")</f>
        <v xml:space="preserve">0,5                       8   </v>
      </c>
      <c r="C50" s="158">
        <f t="shared" si="5"/>
        <v>7.5</v>
      </c>
      <c r="D50" s="158">
        <f t="shared" si="6"/>
        <v>7.5</v>
      </c>
      <c r="E50" s="170"/>
      <c r="F50" s="153" t="str">
        <f>IF(ABS(SUM($A$43:A50))&gt;1, "ALARM","")</f>
        <v/>
      </c>
      <c r="G50" s="171"/>
    </row>
    <row r="51" spans="1:7" ht="12.75" customHeight="1" x14ac:dyDescent="0.2">
      <c r="A51" s="444"/>
      <c r="B51" s="165" t="str">
        <f>IF(C51&lt;D51,"ALARM!   Breite zu klein", TEXT(C51-D51+0.5,"#0,0")&amp;"                      "&amp;" 7   ")</f>
        <v xml:space="preserve">0,5                       7   </v>
      </c>
      <c r="C51" s="161">
        <f t="shared" si="5"/>
        <v>7</v>
      </c>
      <c r="D51" s="161">
        <f t="shared" si="6"/>
        <v>7</v>
      </c>
      <c r="E51" s="170"/>
      <c r="F51" s="153" t="str">
        <f>IF(ABS(SUM($A$43:A51))&gt;1, "ALARM","")</f>
        <v/>
      </c>
      <c r="G51" s="171"/>
    </row>
    <row r="52" spans="1:7" ht="12.75" customHeight="1" x14ac:dyDescent="0.2">
      <c r="A52" s="443"/>
      <c r="B52" s="163" t="str">
        <f>IF(C52&lt;D52,"ALARM!   Breite zu klein", TEXT(C52-D52+0.5,"#0,0")&amp;"                      "&amp;" 6   ")</f>
        <v xml:space="preserve">0,5                       6   </v>
      </c>
      <c r="C52" s="160">
        <f t="shared" si="5"/>
        <v>6.5</v>
      </c>
      <c r="D52" s="160">
        <f t="shared" si="6"/>
        <v>6.5</v>
      </c>
      <c r="E52" s="167"/>
      <c r="F52" s="168" t="str">
        <f>IF(ABS(SUM($A$43:A52))&gt;1, "ALARM","")</f>
        <v/>
      </c>
      <c r="G52" s="169"/>
    </row>
    <row r="53" spans="1:7" ht="12.75" customHeight="1" x14ac:dyDescent="0.2">
      <c r="A53" s="443"/>
      <c r="B53" s="164" t="str">
        <f>IF(C53&lt;D53,"ALARM!   Breite zu klein", TEXT(C53-D53+0.5,"#0,0")&amp;"                      "&amp;" 5   ")</f>
        <v xml:space="preserve">1,0                       5   </v>
      </c>
      <c r="C53" s="158">
        <f t="shared" si="5"/>
        <v>6</v>
      </c>
      <c r="D53" s="158">
        <f t="shared" si="6"/>
        <v>5.5</v>
      </c>
      <c r="E53" s="170"/>
      <c r="F53" s="153" t="str">
        <f>IF(ABS(SUM($A$43:A53))&gt;1, "ALARM","")</f>
        <v/>
      </c>
      <c r="G53" s="171"/>
    </row>
    <row r="54" spans="1:7" ht="12.75" customHeight="1" x14ac:dyDescent="0.2">
      <c r="A54" s="443"/>
      <c r="B54" s="165" t="str">
        <f>IF(C54&lt;D54,"ALARM!   Breite zu klein", TEXT(C54-D54+0.5,"#0,0")&amp;"                      "&amp;" 4   ")</f>
        <v xml:space="preserve">0,5                       4   </v>
      </c>
      <c r="C54" s="161">
        <f t="shared" si="5"/>
        <v>5</v>
      </c>
      <c r="D54" s="161">
        <f t="shared" si="6"/>
        <v>5</v>
      </c>
      <c r="E54" s="170"/>
      <c r="F54" s="153" t="str">
        <f>IF(ABS(SUM($A$43:A54))&gt;1, "ALARM","")</f>
        <v/>
      </c>
      <c r="G54" s="171"/>
    </row>
    <row r="55" spans="1:7" ht="12.75" customHeight="1" x14ac:dyDescent="0.2">
      <c r="A55" s="442"/>
      <c r="B55" s="163" t="str">
        <f>IF(C55&lt;D55,"ALARM!   Breite zu klein", TEXT(C55-D55+0.5,"#0,0")&amp;"                      "&amp;" 3   ")</f>
        <v xml:space="preserve">0,5                       3   </v>
      </c>
      <c r="C55" s="160">
        <f t="shared" si="5"/>
        <v>4.5</v>
      </c>
      <c r="D55" s="160">
        <f t="shared" si="6"/>
        <v>4.5</v>
      </c>
      <c r="E55" s="167"/>
      <c r="F55" s="168" t="str">
        <f>IF(ABS(SUM($A$43:A55))&gt;1, "ALARM","")</f>
        <v/>
      </c>
      <c r="G55" s="169"/>
    </row>
    <row r="56" spans="1:7" ht="12.75" customHeight="1" x14ac:dyDescent="0.2">
      <c r="A56" s="443"/>
      <c r="B56" s="164" t="str">
        <f>IF(C56&lt;D56,"ALARM!   Breite zu klein", TEXT(C56-D56+0.5,"#0,0")&amp;"                      "&amp;" 2   ")</f>
        <v xml:space="preserve">1,0                       2   </v>
      </c>
      <c r="C56" s="158">
        <f t="shared" si="5"/>
        <v>4</v>
      </c>
      <c r="D56" s="158">
        <f t="shared" si="6"/>
        <v>3.5</v>
      </c>
      <c r="E56" s="170"/>
      <c r="F56" s="153" t="str">
        <f>IF(ABS(SUM($A$43:A56))&gt;1, "ALARM","")</f>
        <v/>
      </c>
      <c r="G56" s="171"/>
    </row>
    <row r="57" spans="1:7" ht="12.75" customHeight="1" x14ac:dyDescent="0.2">
      <c r="A57" s="444"/>
      <c r="B57" s="165" t="str">
        <f>IF(C57&lt;D57,"ALARM!   Breite zu klein", TEXT(C57-D57+0.5,"#0,0")&amp;"                      "&amp;" 1   ")</f>
        <v xml:space="preserve">1,0                       1   </v>
      </c>
      <c r="C57" s="161">
        <f t="shared" si="5"/>
        <v>3</v>
      </c>
      <c r="D57" s="161">
        <f>ROUNDUP(H34/500*$H$30,1)*5</f>
        <v>2.5</v>
      </c>
      <c r="E57" s="172"/>
      <c r="F57" s="153" t="str">
        <f>IF(ABS(SUM($A$43:A57))&gt;1, "ALARM","")</f>
        <v/>
      </c>
      <c r="G57" s="173"/>
    </row>
    <row r="58" spans="1:7" ht="12.75" customHeight="1" thickBot="1" x14ac:dyDescent="0.25">
      <c r="A58" s="445"/>
      <c r="B58" s="163" t="str">
        <f>IF(C58&lt;D58,"ALARM!   Breite zu klein", TEXT(C58-D58+0.5,"#0,0")&amp;"                      "&amp;" 0   ")</f>
        <v xml:space="preserve">2,5                       0   </v>
      </c>
      <c r="C58" s="159">
        <f>D57-0.5</f>
        <v>2</v>
      </c>
      <c r="D58" s="162">
        <v>0</v>
      </c>
      <c r="E58" s="174"/>
      <c r="F58" s="174" t="str">
        <f>IF(ABS(SUM($A$43:A58))&gt;1, "ALARM","")</f>
        <v/>
      </c>
      <c r="G58" s="175"/>
    </row>
    <row r="59" spans="1:7" x14ac:dyDescent="0.2">
      <c r="B59" s="166"/>
    </row>
  </sheetData>
  <sheetProtection algorithmName="SHA-512" hashValue="XAJ3B/V0N1wx1T9PG4vfEoxOvDFzLvY08SDdz8QTb3+vVtC3c31Y1emzsxkymT6MCwahyCO7GibZfnVDw7UUpQ==" saltValue="jyp3zicbu+6VqOgYHLjPOg=="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75" priority="1" operator="equal">
      <formula>"ALARM!   Breite zu klein"</formula>
    </cfRule>
  </conditionalFormatting>
  <conditionalFormatting sqref="D4:D38">
    <cfRule type="expression" dxfId="74" priority="3" stopIfTrue="1">
      <formula>$H$3="Punkte"</formula>
    </cfRule>
    <cfRule type="expression" dxfId="73" priority="4" stopIfTrue="1">
      <formula>$H$3="BE"</formula>
    </cfRule>
  </conditionalFormatting>
  <conditionalFormatting sqref="F43:F58">
    <cfRule type="cellIs" dxfId="72" priority="2" operator="equal">
      <formula>"ALARM"</formula>
    </cfRule>
  </conditionalFormatting>
  <dataValidations count="2">
    <dataValidation type="list" allowBlank="1" showInputMessage="1" showErrorMessage="1" sqref="H32" xr:uid="{00000000-0002-0000-0700-000000000000}">
      <formula1>"E,M"</formula1>
    </dataValidation>
    <dataValidation type="list" allowBlank="1" showInputMessage="1" showErrorMessage="1" sqref="H3" xr:uid="{00000000-0002-0000-0700-000001000000}">
      <formula1>"BE,Punkte"</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0">
    <tabColor indexed="35"/>
    <pageSetUpPr fitToPage="1"/>
  </sheetPr>
  <dimension ref="A1:AI127"/>
  <sheetViews>
    <sheetView showGridLines="0" zoomScale="115" zoomScaleNormal="115" workbookViewId="0">
      <pane xSplit="2" ySplit="3" topLeftCell="C4" activePane="bottomRight" state="frozen"/>
      <selection activeCell="T47" sqref="T47"/>
      <selection pane="topRight" activeCell="T47" sqref="T47"/>
      <selection pane="bottomLeft" activeCell="T47" sqref="T47"/>
      <selection pane="bottomRight" activeCell="Q11" sqref="Q11"/>
    </sheetView>
  </sheetViews>
  <sheetFormatPr baseColWidth="10" defaultRowHeight="12.75" x14ac:dyDescent="0.2"/>
  <cols>
    <col min="1" max="1" width="3.7109375" style="114" customWidth="1"/>
    <col min="2" max="2" width="25.140625" style="114" customWidth="1"/>
    <col min="3" max="10" width="4" style="114" customWidth="1"/>
    <col min="11" max="15" width="5.7109375" style="114" customWidth="1"/>
    <col min="16" max="16" width="3" style="114" customWidth="1"/>
    <col min="17" max="18" width="5.7109375" style="114" customWidth="1"/>
    <col min="19" max="19" width="4.42578125" style="114" customWidth="1"/>
    <col min="20" max="20" width="3" style="114" customWidth="1"/>
    <col min="21" max="24" width="5.140625" style="114" customWidth="1"/>
    <col min="25" max="25" width="11" style="114" customWidth="1"/>
    <col min="26" max="28" width="4" style="114" customWidth="1"/>
    <col min="29" max="29" width="0" style="114" hidden="1" customWidth="1"/>
    <col min="30" max="30" width="5.28515625" style="114" hidden="1" customWidth="1"/>
    <col min="31" max="16384" width="11.42578125" style="114"/>
  </cols>
  <sheetData>
    <row r="1" spans="1:35" ht="13.5" thickBot="1" x14ac:dyDescent="0.25">
      <c r="A1" s="391" t="s">
        <v>5</v>
      </c>
      <c r="B1" s="395">
        <f>'1. Halbjahr'!B1</f>
        <v>0</v>
      </c>
      <c r="C1" s="396" t="s">
        <v>33</v>
      </c>
      <c r="D1" s="383"/>
      <c r="E1" s="482">
        <f>'1. Halbjahr'!E1:H1</f>
        <v>0</v>
      </c>
      <c r="F1" s="482"/>
      <c r="G1" s="482"/>
      <c r="H1" s="483"/>
      <c r="I1" s="475" t="str">
        <f>'1. Halbjahr'!I1:J1</f>
        <v>Lehrer/in:</v>
      </c>
      <c r="J1" s="476"/>
      <c r="K1" s="482">
        <f>'1. Halbjahr'!K1:L1</f>
        <v>0</v>
      </c>
      <c r="L1" s="483"/>
      <c r="M1" s="383" t="s">
        <v>6</v>
      </c>
      <c r="N1" s="477">
        <f ca="1">TODAY()</f>
        <v>46296</v>
      </c>
      <c r="O1" s="478"/>
      <c r="P1" s="383"/>
      <c r="Q1" s="446"/>
      <c r="R1" s="446"/>
      <c r="S1" s="384"/>
      <c r="T1" s="384"/>
      <c r="U1" s="384"/>
      <c r="V1" s="384"/>
      <c r="W1" s="384"/>
      <c r="X1" s="384"/>
      <c r="Y1" s="384"/>
      <c r="Z1" s="384"/>
      <c r="AA1" s="384"/>
      <c r="AB1" s="384"/>
      <c r="AC1" s="384"/>
      <c r="AD1" s="384"/>
      <c r="AE1" s="384"/>
      <c r="AF1" s="384"/>
      <c r="AG1" s="384"/>
      <c r="AH1" s="384"/>
      <c r="AI1" s="115"/>
    </row>
    <row r="2" spans="1:35" ht="13.5" thickBot="1" x14ac:dyDescent="0.25">
      <c r="A2" s="391"/>
      <c r="B2" s="392" t="s">
        <v>57</v>
      </c>
      <c r="C2" s="479" t="s">
        <v>1</v>
      </c>
      <c r="D2" s="480"/>
      <c r="E2" s="480"/>
      <c r="F2" s="480"/>
      <c r="G2" s="480"/>
      <c r="H2" s="480"/>
      <c r="I2" s="480"/>
      <c r="J2" s="480"/>
      <c r="K2" s="480"/>
      <c r="L2" s="480"/>
      <c r="M2" s="480"/>
      <c r="N2" s="480"/>
      <c r="O2" s="481"/>
      <c r="P2" s="448"/>
      <c r="Q2" s="484" t="s">
        <v>85</v>
      </c>
      <c r="R2" s="485"/>
      <c r="S2" s="384"/>
      <c r="T2" s="384"/>
      <c r="U2" s="384"/>
      <c r="V2" s="384"/>
      <c r="W2" s="384"/>
      <c r="X2" s="384"/>
      <c r="Y2" s="384"/>
      <c r="Z2" s="384"/>
      <c r="AA2" s="384"/>
      <c r="AB2" s="384"/>
      <c r="AC2" s="384"/>
      <c r="AD2" s="384"/>
      <c r="AE2" s="384"/>
      <c r="AF2" s="384"/>
      <c r="AG2" s="384"/>
      <c r="AH2" s="384"/>
      <c r="AI2" s="115"/>
    </row>
    <row r="3" spans="1:35" ht="13.5" thickBot="1" x14ac:dyDescent="0.25">
      <c r="A3" s="127"/>
      <c r="B3" s="126"/>
      <c r="C3" s="124" t="s">
        <v>78</v>
      </c>
      <c r="D3" s="125" t="s">
        <v>78</v>
      </c>
      <c r="E3" s="125" t="s">
        <v>62</v>
      </c>
      <c r="F3" s="125" t="s">
        <v>62</v>
      </c>
      <c r="G3" s="125" t="s">
        <v>62</v>
      </c>
      <c r="H3" s="125" t="s">
        <v>61</v>
      </c>
      <c r="I3" s="125" t="s">
        <v>61</v>
      </c>
      <c r="J3" s="125" t="s">
        <v>61</v>
      </c>
      <c r="K3" s="138" t="s">
        <v>58</v>
      </c>
      <c r="L3" s="138" t="s">
        <v>40</v>
      </c>
      <c r="M3" s="315" t="s">
        <v>40</v>
      </c>
      <c r="N3" s="316" t="s">
        <v>81</v>
      </c>
      <c r="O3" s="317" t="s">
        <v>82</v>
      </c>
      <c r="P3" s="318"/>
      <c r="Q3" s="316" t="s">
        <v>83</v>
      </c>
      <c r="R3" s="447" t="s">
        <v>84</v>
      </c>
      <c r="S3" s="384"/>
      <c r="T3" s="384"/>
      <c r="U3" s="384"/>
      <c r="V3" s="384"/>
      <c r="W3" s="384"/>
      <c r="X3" s="384"/>
      <c r="Y3" s="384"/>
      <c r="Z3" s="384"/>
      <c r="AA3" s="384"/>
      <c r="AB3" s="384"/>
      <c r="AC3" s="384"/>
      <c r="AD3" s="384"/>
      <c r="AE3" s="384"/>
      <c r="AF3" s="384"/>
      <c r="AG3" s="384"/>
      <c r="AH3" s="384"/>
      <c r="AI3" s="115"/>
    </row>
    <row r="4" spans="1:35" s="116" customFormat="1" ht="24.95" customHeight="1" x14ac:dyDescent="0.2">
      <c r="A4" s="139">
        <v>1</v>
      </c>
      <c r="B4" s="310" t="str">
        <f xml:space="preserve"> IF('1. Halbjahr'!B4="","",'1. Halbjahr'!B4)</f>
        <v/>
      </c>
      <c r="C4" s="193" t="str">
        <f ca="1">II1KA!C4</f>
        <v/>
      </c>
      <c r="D4" s="192" t="str">
        <f ca="1">II2KA!C4</f>
        <v/>
      </c>
      <c r="E4" s="132" t="str">
        <f ca="1">II1Ext!C4</f>
        <v/>
      </c>
      <c r="F4" s="121" t="str">
        <f ca="1">II2Ext!C4</f>
        <v/>
      </c>
      <c r="G4" s="121" t="str">
        <f ca="1">II3Ext!C4</f>
        <v/>
      </c>
      <c r="H4" s="112"/>
      <c r="I4" s="113"/>
      <c r="J4" s="111"/>
      <c r="K4" s="195" t="str">
        <f ca="1">IF(COUNT(C4:J4)&gt;0,SUMPRODUCT((C4:J4&lt;&gt;"")*1,C4:J4,$C$39:$J$39)/SUMPRODUCT((C4:J4&lt;&gt;"")*1,$C$39:$J$39),"")</f>
        <v/>
      </c>
      <c r="L4" s="196" t="str">
        <f ca="1">II1SA!C4</f>
        <v/>
      </c>
      <c r="M4" s="197" t="str">
        <f ca="1">II2SA!C4</f>
        <v/>
      </c>
      <c r="N4" s="122" t="str" cm="1">
        <f t="array" aca="1" ref="N4" ca="1">IF(COUNT(K4:M4)&gt;0,SUMPRODUCT((K4:M4&lt;&gt;"")*1,K4:M4,$K$39:$M$39)/SUMPRODUCT((K4:M4&lt;&gt;"")*1,$K$39:$M$39),"")</f>
        <v/>
      </c>
      <c r="O4" s="150" t="str">
        <f ca="1">IF(N4&lt;&gt;"",IF(N4&lt;1,0,ROUND(N4,0)),"")</f>
        <v/>
      </c>
      <c r="P4" s="146"/>
      <c r="Q4" s="202" t="str">
        <f ca="1">'1. Halbjahr'!O4</f>
        <v/>
      </c>
      <c r="R4" s="150" t="str">
        <f ca="1">IF(AND(O4&lt;&gt;"",Q4&lt;&gt;""), IF((O4+Q4)/2 &lt; 1,0, ROUND((O4+Q4)/2, 0)), IF(O4&lt;&gt;"", O4,""))</f>
        <v/>
      </c>
      <c r="S4" s="385"/>
      <c r="T4" s="385"/>
      <c r="U4" s="385"/>
      <c r="V4" s="385"/>
      <c r="W4" s="385"/>
      <c r="X4" s="385"/>
      <c r="Y4" s="385"/>
      <c r="Z4" s="385"/>
      <c r="AA4" s="385"/>
      <c r="AB4" s="385"/>
      <c r="AC4" s="385"/>
      <c r="AD4" s="385"/>
      <c r="AE4" s="385"/>
      <c r="AF4" s="385"/>
      <c r="AG4" s="385"/>
      <c r="AH4" s="385"/>
      <c r="AI4" s="191"/>
    </row>
    <row r="5" spans="1:35" s="116" customFormat="1" ht="24.95" customHeight="1" x14ac:dyDescent="0.2">
      <c r="A5" s="140">
        <v>2</v>
      </c>
      <c r="B5" s="314" t="str">
        <f xml:space="preserve"> IF('1. Halbjahr'!B5="","",'1. Halbjahr'!B5)</f>
        <v/>
      </c>
      <c r="C5" s="118" t="str">
        <f ca="1">II1KA!C5</f>
        <v/>
      </c>
      <c r="D5" s="133" t="str">
        <f ca="1">II2KA!C5</f>
        <v/>
      </c>
      <c r="E5" s="132" t="str">
        <f ca="1">II1Ext!C5</f>
        <v/>
      </c>
      <c r="F5" s="121" t="str">
        <f ca="1">II2Ext!C5</f>
        <v/>
      </c>
      <c r="G5" s="121" t="str">
        <f ca="1">II3Ext!C5</f>
        <v/>
      </c>
      <c r="H5" s="112"/>
      <c r="I5" s="112"/>
      <c r="J5" s="111"/>
      <c r="K5" s="195" t="str">
        <f t="shared" ref="K5:K38" ca="1" si="0">IF(COUNT(C5:J5)&gt;0,SUMPRODUCT((C5:J5&lt;&gt;"")*1,C5:J5,$C$39:$J$39)/SUMPRODUCT((C5:J5&lt;&gt;"")*1,$C$39:$J$39),"")</f>
        <v/>
      </c>
      <c r="L5" s="196" t="str">
        <f ca="1">II1SA!C5</f>
        <v/>
      </c>
      <c r="M5" s="197" t="str">
        <f ca="1">II2SA!C5</f>
        <v/>
      </c>
      <c r="N5" s="122" t="str" cm="1">
        <f t="array" aca="1" ref="N5" ca="1">IF(COUNT(K5:M5)&gt;0,SUMPRODUCT((K5:M5&lt;&gt;"")*1,K5:M5,$K$39:$M$39)/SUMPRODUCT((K5:M5&lt;&gt;"")*1,$K$39:$M$39),"")</f>
        <v/>
      </c>
      <c r="O5" s="151" t="str">
        <f t="shared" ref="O5:O38" ca="1" si="1">IF(N5&lt;&gt;"",IF(N5&lt;1,0,ROUND(N5,0)),"")</f>
        <v/>
      </c>
      <c r="P5" s="146"/>
      <c r="Q5" s="203" t="str">
        <f ca="1">'1. Halbjahr'!O5</f>
        <v/>
      </c>
      <c r="R5" s="150" t="str">
        <f t="shared" ref="R5:R38" ca="1" si="2">IF(AND(O5&lt;&gt;"",Q5&lt;&gt;""), IF((O5+Q5)/2 &lt; 1,0, ROUND((O5+Q5)/2, 0)), IF(O5&lt;&gt;"", O5,""))</f>
        <v/>
      </c>
      <c r="S5" s="385"/>
      <c r="T5" s="385"/>
      <c r="U5" s="385"/>
      <c r="V5" s="385"/>
      <c r="W5" s="385"/>
      <c r="X5" s="385"/>
      <c r="Y5" s="385"/>
      <c r="Z5" s="385"/>
      <c r="AA5" s="385"/>
      <c r="AB5" s="385"/>
      <c r="AC5" s="385"/>
      <c r="AD5" s="385"/>
      <c r="AE5" s="385"/>
      <c r="AF5" s="385"/>
      <c r="AG5" s="385"/>
      <c r="AH5" s="385"/>
      <c r="AI5" s="191"/>
    </row>
    <row r="6" spans="1:35" s="116" customFormat="1" ht="24.95" customHeight="1" x14ac:dyDescent="0.2">
      <c r="A6" s="140">
        <v>3</v>
      </c>
      <c r="B6" s="313" t="str">
        <f xml:space="preserve"> IF('1. Halbjahr'!B6="","",'1. Halbjahr'!B6)</f>
        <v/>
      </c>
      <c r="C6" s="118" t="str">
        <f ca="1">II1KA!C6</f>
        <v/>
      </c>
      <c r="D6" s="133" t="str">
        <f ca="1">II2KA!C6</f>
        <v/>
      </c>
      <c r="E6" s="132" t="str">
        <f ca="1">II1Ext!C6</f>
        <v/>
      </c>
      <c r="F6" s="121" t="str">
        <f ca="1">II2Ext!C6</f>
        <v/>
      </c>
      <c r="G6" s="121" t="str">
        <f ca="1">II3Ext!C6</f>
        <v/>
      </c>
      <c r="H6" s="113"/>
      <c r="I6" s="113"/>
      <c r="J6" s="111"/>
      <c r="K6" s="195" t="str">
        <f t="shared" ca="1" si="0"/>
        <v/>
      </c>
      <c r="L6" s="196" t="str">
        <f ca="1">II1SA!C6</f>
        <v/>
      </c>
      <c r="M6" s="197" t="str">
        <f ca="1">II2SA!C6</f>
        <v/>
      </c>
      <c r="N6" s="122" t="str" cm="1">
        <f t="array" aca="1" ref="N6" ca="1">IF(COUNT(K6:M6)&gt;0,SUMPRODUCT((K6:M6&lt;&gt;"")*1,K6:M6,$K$39:$M$39)/SUMPRODUCT((K6:M6&lt;&gt;"")*1,$K$39:$M$39),"")</f>
        <v/>
      </c>
      <c r="O6" s="151" t="str">
        <f t="shared" ca="1" si="1"/>
        <v/>
      </c>
      <c r="P6" s="146"/>
      <c r="Q6" s="202" t="str">
        <f ca="1">'1. Halbjahr'!O6</f>
        <v/>
      </c>
      <c r="R6" s="150" t="str">
        <f t="shared" ca="1" si="2"/>
        <v/>
      </c>
      <c r="S6" s="385"/>
      <c r="T6" s="385"/>
      <c r="U6" s="385"/>
      <c r="V6" s="385"/>
      <c r="W6" s="385"/>
      <c r="X6" s="385"/>
      <c r="Y6" s="385"/>
      <c r="Z6" s="385"/>
      <c r="AA6" s="385"/>
      <c r="AB6" s="385"/>
      <c r="AC6" s="385"/>
      <c r="AD6" s="385"/>
      <c r="AE6" s="385"/>
      <c r="AF6" s="385"/>
      <c r="AG6" s="385"/>
      <c r="AH6" s="385"/>
      <c r="AI6" s="191"/>
    </row>
    <row r="7" spans="1:35" s="116" customFormat="1" ht="24.95" customHeight="1" x14ac:dyDescent="0.2">
      <c r="A7" s="140">
        <v>4</v>
      </c>
      <c r="B7" s="313" t="str">
        <f xml:space="preserve"> IF('1. Halbjahr'!B7="","",'1. Halbjahr'!B7)</f>
        <v/>
      </c>
      <c r="C7" s="118" t="str">
        <f ca="1">II1KA!C7</f>
        <v/>
      </c>
      <c r="D7" s="133" t="str">
        <f ca="1">II2KA!C7</f>
        <v/>
      </c>
      <c r="E7" s="132" t="str">
        <f ca="1">II1Ext!C7</f>
        <v/>
      </c>
      <c r="F7" s="121" t="str">
        <f ca="1">II2Ext!C7</f>
        <v/>
      </c>
      <c r="G7" s="121" t="str">
        <f ca="1">II3Ext!C7</f>
        <v/>
      </c>
      <c r="H7" s="113"/>
      <c r="I7" s="113"/>
      <c r="J7" s="111"/>
      <c r="K7" s="195" t="str">
        <f t="shared" ca="1" si="0"/>
        <v/>
      </c>
      <c r="L7" s="196" t="str">
        <f ca="1">II1SA!C7</f>
        <v/>
      </c>
      <c r="M7" s="197" t="str">
        <f ca="1">II2SA!C7</f>
        <v/>
      </c>
      <c r="N7" s="122" t="str" cm="1">
        <f t="array" aca="1" ref="N7" ca="1">IF(COUNT(K7:M7)&gt;0,SUMPRODUCT((K7:M7&lt;&gt;"")*1,K7:M7,$K$39:$M$39)/SUMPRODUCT((K7:M7&lt;&gt;"")*1,$K$39:$M$39),"")</f>
        <v/>
      </c>
      <c r="O7" s="151" t="str">
        <f t="shared" ca="1" si="1"/>
        <v/>
      </c>
      <c r="P7" s="146"/>
      <c r="Q7" s="202" t="str">
        <f ca="1">'1. Halbjahr'!O7</f>
        <v/>
      </c>
      <c r="R7" s="150" t="str">
        <f t="shared" ca="1" si="2"/>
        <v/>
      </c>
      <c r="S7" s="385"/>
      <c r="T7" s="385"/>
      <c r="U7" s="385"/>
      <c r="V7" s="385"/>
      <c r="W7" s="385"/>
      <c r="X7" s="385"/>
      <c r="Y7" s="385"/>
      <c r="Z7" s="385"/>
      <c r="AA7" s="385"/>
      <c r="AB7" s="385"/>
      <c r="AC7" s="385"/>
      <c r="AD7" s="385"/>
      <c r="AE7" s="385"/>
      <c r="AF7" s="385"/>
      <c r="AG7" s="385"/>
      <c r="AH7" s="385"/>
      <c r="AI7" s="191"/>
    </row>
    <row r="8" spans="1:35" s="116" customFormat="1" ht="24.95" customHeight="1" x14ac:dyDescent="0.2">
      <c r="A8" s="140">
        <v>5</v>
      </c>
      <c r="B8" s="312" t="str">
        <f xml:space="preserve"> IF('1. Halbjahr'!B8="","",'1. Halbjahr'!B8)</f>
        <v/>
      </c>
      <c r="C8" s="118" t="str">
        <f ca="1">II1KA!C8</f>
        <v/>
      </c>
      <c r="D8" s="133" t="str">
        <f ca="1">II2KA!C8</f>
        <v/>
      </c>
      <c r="E8" s="132" t="str">
        <f ca="1">II1Ext!C8</f>
        <v/>
      </c>
      <c r="F8" s="121" t="str">
        <f ca="1">II2Ext!C8</f>
        <v/>
      </c>
      <c r="G8" s="121" t="str">
        <f ca="1">II3Ext!C8</f>
        <v/>
      </c>
      <c r="H8" s="113"/>
      <c r="I8" s="113"/>
      <c r="J8" s="111"/>
      <c r="K8" s="195" t="str">
        <f t="shared" ca="1" si="0"/>
        <v/>
      </c>
      <c r="L8" s="196" t="str">
        <f ca="1">II1SA!C8</f>
        <v/>
      </c>
      <c r="M8" s="197" t="str">
        <f ca="1">II2SA!C8</f>
        <v/>
      </c>
      <c r="N8" s="122" t="str" cm="1">
        <f t="array" aca="1" ref="N8" ca="1">IF(COUNT(K8:M8)&gt;0,SUMPRODUCT((K8:M8&lt;&gt;"")*1,K8:M8,$K$39:$M$39)/SUMPRODUCT((K8:M8&lt;&gt;"")*1,$K$39:$M$39),"")</f>
        <v/>
      </c>
      <c r="O8" s="151" t="str">
        <f t="shared" ca="1" si="1"/>
        <v/>
      </c>
      <c r="P8" s="146"/>
      <c r="Q8" s="202" t="str">
        <f ca="1">'1. Halbjahr'!O8</f>
        <v/>
      </c>
      <c r="R8" s="150" t="str">
        <f t="shared" ca="1" si="2"/>
        <v/>
      </c>
      <c r="S8" s="385"/>
      <c r="T8" s="385"/>
      <c r="U8" s="385"/>
      <c r="V8" s="385"/>
      <c r="W8" s="385"/>
      <c r="X8" s="385"/>
      <c r="Y8" s="385"/>
      <c r="Z8" s="385"/>
      <c r="AA8" s="385"/>
      <c r="AB8" s="385"/>
      <c r="AC8" s="385"/>
      <c r="AD8" s="385"/>
      <c r="AE8" s="385"/>
      <c r="AF8" s="385"/>
      <c r="AG8" s="385"/>
      <c r="AH8" s="385"/>
      <c r="AI8" s="191"/>
    </row>
    <row r="9" spans="1:35" s="116" customFormat="1" ht="24.95" customHeight="1" x14ac:dyDescent="0.2">
      <c r="A9" s="140">
        <v>6</v>
      </c>
      <c r="B9" s="314" t="str">
        <f xml:space="preserve"> IF('1. Halbjahr'!B9="","",'1. Halbjahr'!B9)</f>
        <v/>
      </c>
      <c r="C9" s="118" t="str">
        <f ca="1">II1KA!C9</f>
        <v/>
      </c>
      <c r="D9" s="133" t="str">
        <f ca="1">II2KA!C9</f>
        <v/>
      </c>
      <c r="E9" s="132" t="str">
        <f ca="1">II1Ext!C9</f>
        <v/>
      </c>
      <c r="F9" s="121" t="str">
        <f ca="1">II2Ext!C9</f>
        <v/>
      </c>
      <c r="G9" s="121" t="str">
        <f ca="1">II3Ext!C9</f>
        <v/>
      </c>
      <c r="H9" s="113"/>
      <c r="I9" s="113"/>
      <c r="J9" s="111"/>
      <c r="K9" s="195" t="str">
        <f t="shared" ca="1" si="0"/>
        <v/>
      </c>
      <c r="L9" s="196" t="str">
        <f ca="1">II1SA!C9</f>
        <v/>
      </c>
      <c r="M9" s="197" t="str">
        <f ca="1">II2SA!C9</f>
        <v/>
      </c>
      <c r="N9" s="122" t="str" cm="1">
        <f t="array" aca="1" ref="N9" ca="1">IF(COUNT(K9:M9)&gt;0,SUMPRODUCT((K9:M9&lt;&gt;"")*1,K9:M9,$K$39:$M$39)/SUMPRODUCT((K9:M9&lt;&gt;"")*1,$K$39:$M$39),"")</f>
        <v/>
      </c>
      <c r="O9" s="151" t="str">
        <f t="shared" ca="1" si="1"/>
        <v/>
      </c>
      <c r="P9" s="146"/>
      <c r="Q9" s="202" t="str">
        <f ca="1">'1. Halbjahr'!O9</f>
        <v/>
      </c>
      <c r="R9" s="150" t="str">
        <f t="shared" ca="1" si="2"/>
        <v/>
      </c>
      <c r="S9" s="385"/>
      <c r="T9" s="385"/>
      <c r="U9" s="385"/>
      <c r="V9" s="385"/>
      <c r="W9" s="385"/>
      <c r="X9" s="385"/>
      <c r="Y9" s="385"/>
      <c r="Z9" s="385"/>
      <c r="AA9" s="385"/>
      <c r="AB9" s="385"/>
      <c r="AC9" s="385"/>
      <c r="AD9" s="385"/>
      <c r="AE9" s="385"/>
      <c r="AF9" s="385"/>
      <c r="AG9" s="385"/>
      <c r="AH9" s="385"/>
      <c r="AI9" s="191"/>
    </row>
    <row r="10" spans="1:35" s="116" customFormat="1" ht="24.95" customHeight="1" x14ac:dyDescent="0.2">
      <c r="A10" s="140">
        <v>7</v>
      </c>
      <c r="B10" s="314" t="str">
        <f xml:space="preserve"> IF('1. Halbjahr'!B10="","",'1. Halbjahr'!B10)</f>
        <v/>
      </c>
      <c r="C10" s="118" t="str">
        <f ca="1">II1KA!C10</f>
        <v/>
      </c>
      <c r="D10" s="133" t="str">
        <f ca="1">II2KA!C10</f>
        <v/>
      </c>
      <c r="E10" s="132" t="str">
        <f ca="1">II1Ext!C10</f>
        <v/>
      </c>
      <c r="F10" s="121" t="str">
        <f ca="1">II2Ext!C10</f>
        <v/>
      </c>
      <c r="G10" s="121" t="str">
        <f ca="1">II3Ext!C10</f>
        <v/>
      </c>
      <c r="H10" s="113"/>
      <c r="I10" s="113"/>
      <c r="J10" s="111"/>
      <c r="K10" s="195" t="str">
        <f t="shared" ca="1" si="0"/>
        <v/>
      </c>
      <c r="L10" s="196" t="str">
        <f ca="1">II1SA!C10</f>
        <v/>
      </c>
      <c r="M10" s="197" t="str">
        <f ca="1">II2SA!C10</f>
        <v/>
      </c>
      <c r="N10" s="122" t="str" cm="1">
        <f t="array" aca="1" ref="N10" ca="1">IF(COUNT(K10:M10)&gt;0,SUMPRODUCT((K10:M10&lt;&gt;"")*1,K10:M10,$K$39:$M$39)/SUMPRODUCT((K10:M10&lt;&gt;"")*1,$K$39:$M$39),"")</f>
        <v/>
      </c>
      <c r="O10" s="151" t="str">
        <f t="shared" ca="1" si="1"/>
        <v/>
      </c>
      <c r="P10" s="146"/>
      <c r="Q10" s="202" t="str">
        <f ca="1">'1. Halbjahr'!O10</f>
        <v/>
      </c>
      <c r="R10" s="150" t="str">
        <f t="shared" ca="1" si="2"/>
        <v/>
      </c>
      <c r="S10" s="385"/>
      <c r="T10" s="385"/>
      <c r="U10" s="385"/>
      <c r="V10" s="385"/>
      <c r="W10" s="385"/>
      <c r="X10" s="385"/>
      <c r="Y10" s="385"/>
      <c r="Z10" s="385"/>
      <c r="AA10" s="385"/>
      <c r="AB10" s="385"/>
      <c r="AC10" s="385"/>
      <c r="AD10" s="385"/>
      <c r="AE10" s="385"/>
      <c r="AF10" s="385"/>
      <c r="AG10" s="385"/>
      <c r="AH10" s="385"/>
      <c r="AI10" s="191"/>
    </row>
    <row r="11" spans="1:35" s="116" customFormat="1" ht="24.95" customHeight="1" x14ac:dyDescent="0.2">
      <c r="A11" s="140">
        <v>8</v>
      </c>
      <c r="B11" s="314" t="str">
        <f xml:space="preserve"> IF('1. Halbjahr'!B11="","",'1. Halbjahr'!B11)</f>
        <v/>
      </c>
      <c r="C11" s="118" t="str">
        <f ca="1">II1KA!C11</f>
        <v/>
      </c>
      <c r="D11" s="133" t="str">
        <f ca="1">II2KA!C11</f>
        <v/>
      </c>
      <c r="E11" s="132" t="str">
        <f ca="1">II1Ext!C11</f>
        <v/>
      </c>
      <c r="F11" s="121" t="str">
        <f ca="1">II2Ext!C11</f>
        <v/>
      </c>
      <c r="G11" s="121" t="str">
        <f ca="1">II3Ext!C11</f>
        <v/>
      </c>
      <c r="H11" s="113"/>
      <c r="I11" s="113"/>
      <c r="J11" s="111"/>
      <c r="K11" s="195" t="str">
        <f t="shared" ca="1" si="0"/>
        <v/>
      </c>
      <c r="L11" s="196" t="str">
        <f ca="1">II1SA!C11</f>
        <v/>
      </c>
      <c r="M11" s="197" t="str">
        <f ca="1">II2SA!C11</f>
        <v/>
      </c>
      <c r="N11" s="122" t="str" cm="1">
        <f t="array" aca="1" ref="N11" ca="1">IF(COUNT(K11:M11)&gt;0,SUMPRODUCT((K11:M11&lt;&gt;"")*1,K11:M11,$K$39:$M$39)/SUMPRODUCT((K11:M11&lt;&gt;"")*1,$K$39:$M$39),"")</f>
        <v/>
      </c>
      <c r="O11" s="151" t="str">
        <f t="shared" ca="1" si="1"/>
        <v/>
      </c>
      <c r="P11" s="146"/>
      <c r="Q11" s="202" t="str">
        <f ca="1">'1. Halbjahr'!O11</f>
        <v/>
      </c>
      <c r="R11" s="150" t="str">
        <f t="shared" ca="1" si="2"/>
        <v/>
      </c>
      <c r="S11" s="385"/>
      <c r="T11" s="385"/>
      <c r="U11" s="385"/>
      <c r="V11" s="385"/>
      <c r="W11" s="385"/>
      <c r="X11" s="385"/>
      <c r="Y11" s="385"/>
      <c r="Z11" s="385"/>
      <c r="AA11" s="385"/>
      <c r="AB11" s="385"/>
      <c r="AC11" s="385"/>
      <c r="AD11" s="385"/>
      <c r="AE11" s="385"/>
      <c r="AF11" s="385"/>
      <c r="AG11" s="385"/>
      <c r="AH11" s="385"/>
      <c r="AI11" s="191"/>
    </row>
    <row r="12" spans="1:35" s="116" customFormat="1" ht="24.95" customHeight="1" x14ac:dyDescent="0.2">
      <c r="A12" s="140">
        <v>9</v>
      </c>
      <c r="B12" s="313" t="str">
        <f xml:space="preserve"> IF('1. Halbjahr'!B12="","",'1. Halbjahr'!B12)</f>
        <v/>
      </c>
      <c r="C12" s="118" t="str">
        <f ca="1">II1KA!C12</f>
        <v/>
      </c>
      <c r="D12" s="133" t="str">
        <f ca="1">II2KA!C12</f>
        <v/>
      </c>
      <c r="E12" s="132" t="str">
        <f ca="1">II1Ext!C12</f>
        <v/>
      </c>
      <c r="F12" s="121" t="str">
        <f ca="1">II2Ext!C12</f>
        <v/>
      </c>
      <c r="G12" s="121" t="str">
        <f ca="1">II3Ext!C12</f>
        <v/>
      </c>
      <c r="H12" s="113"/>
      <c r="I12" s="113"/>
      <c r="J12" s="111"/>
      <c r="K12" s="195" t="str">
        <f t="shared" ca="1" si="0"/>
        <v/>
      </c>
      <c r="L12" s="196" t="str">
        <f ca="1">II1SA!C12</f>
        <v/>
      </c>
      <c r="M12" s="197" t="str">
        <f ca="1">II2SA!C12</f>
        <v/>
      </c>
      <c r="N12" s="122" t="str" cm="1">
        <f t="array" aca="1" ref="N12" ca="1">IF(COUNT(K12:M12)&gt;0,SUMPRODUCT((K12:M12&lt;&gt;"")*1,K12:M12,$K$39:$M$39)/SUMPRODUCT((K12:M12&lt;&gt;"")*1,$K$39:$M$39),"")</f>
        <v/>
      </c>
      <c r="O12" s="151" t="str">
        <f t="shared" ca="1" si="1"/>
        <v/>
      </c>
      <c r="P12" s="146"/>
      <c r="Q12" s="202" t="str">
        <f ca="1">'1. Halbjahr'!O12</f>
        <v/>
      </c>
      <c r="R12" s="150" t="str">
        <f t="shared" ca="1" si="2"/>
        <v/>
      </c>
      <c r="S12" s="385"/>
      <c r="T12" s="385"/>
      <c r="U12" s="385"/>
      <c r="V12" s="385"/>
      <c r="W12" s="385"/>
      <c r="X12" s="385"/>
      <c r="Y12" s="385"/>
      <c r="Z12" s="385"/>
      <c r="AA12" s="385"/>
      <c r="AB12" s="385"/>
      <c r="AC12" s="385"/>
      <c r="AD12" s="385"/>
      <c r="AE12" s="385"/>
      <c r="AF12" s="385"/>
      <c r="AG12" s="385"/>
      <c r="AH12" s="385"/>
      <c r="AI12" s="191"/>
    </row>
    <row r="13" spans="1:35" s="116" customFormat="1" ht="24.95" customHeight="1" x14ac:dyDescent="0.2">
      <c r="A13" s="140">
        <v>10</v>
      </c>
      <c r="B13" s="312" t="str">
        <f xml:space="preserve"> IF('1. Halbjahr'!B13="","",'1. Halbjahr'!B13)</f>
        <v/>
      </c>
      <c r="C13" s="118" t="str">
        <f ca="1">II1KA!C13</f>
        <v/>
      </c>
      <c r="D13" s="133" t="str">
        <f ca="1">II2KA!C13</f>
        <v/>
      </c>
      <c r="E13" s="132" t="str">
        <f ca="1">II1Ext!C13</f>
        <v/>
      </c>
      <c r="F13" s="121" t="str">
        <f ca="1">II2Ext!C13</f>
        <v/>
      </c>
      <c r="G13" s="121" t="str">
        <f ca="1">II3Ext!C13</f>
        <v/>
      </c>
      <c r="H13" s="113"/>
      <c r="I13" s="113"/>
      <c r="J13" s="111"/>
      <c r="K13" s="195" t="str">
        <f t="shared" ca="1" si="0"/>
        <v/>
      </c>
      <c r="L13" s="196" t="str">
        <f ca="1">II1SA!C13</f>
        <v/>
      </c>
      <c r="M13" s="197" t="str">
        <f ca="1">II2SA!C13</f>
        <v/>
      </c>
      <c r="N13" s="122" t="str" cm="1">
        <f t="array" aca="1" ref="N13" ca="1">IF(COUNT(K13:M13)&gt;0,SUMPRODUCT((K13:M13&lt;&gt;"")*1,K13:M13,$K$39:$M$39)/SUMPRODUCT((K13:M13&lt;&gt;"")*1,$K$39:$M$39),"")</f>
        <v/>
      </c>
      <c r="O13" s="151" t="str">
        <f t="shared" ca="1" si="1"/>
        <v/>
      </c>
      <c r="P13" s="146"/>
      <c r="Q13" s="202" t="str">
        <f ca="1">'1. Halbjahr'!O13</f>
        <v/>
      </c>
      <c r="R13" s="150" t="str">
        <f t="shared" ca="1" si="2"/>
        <v/>
      </c>
      <c r="S13" s="385"/>
      <c r="T13" s="385"/>
      <c r="U13" s="385"/>
      <c r="V13" s="385"/>
      <c r="W13" s="385"/>
      <c r="X13" s="385"/>
      <c r="Y13" s="385"/>
      <c r="Z13" s="385"/>
      <c r="AA13" s="385"/>
      <c r="AB13" s="385"/>
      <c r="AC13" s="385"/>
      <c r="AD13" s="385"/>
      <c r="AE13" s="385"/>
      <c r="AF13" s="385"/>
      <c r="AG13" s="385"/>
      <c r="AH13" s="385"/>
      <c r="AI13" s="191"/>
    </row>
    <row r="14" spans="1:35" s="116" customFormat="1" ht="24.95" customHeight="1" x14ac:dyDescent="0.2">
      <c r="A14" s="140">
        <v>11</v>
      </c>
      <c r="B14" s="314" t="str">
        <f xml:space="preserve"> IF('1. Halbjahr'!B14="","",'1. Halbjahr'!B14)</f>
        <v/>
      </c>
      <c r="C14" s="118" t="str">
        <f ca="1">II1KA!C14</f>
        <v/>
      </c>
      <c r="D14" s="133" t="str">
        <f ca="1">II2KA!C14</f>
        <v/>
      </c>
      <c r="E14" s="132" t="str">
        <f ca="1">II1Ext!C14</f>
        <v/>
      </c>
      <c r="F14" s="121" t="str">
        <f ca="1">II2Ext!C14</f>
        <v/>
      </c>
      <c r="G14" s="121" t="str">
        <f ca="1">II3Ext!C14</f>
        <v/>
      </c>
      <c r="H14" s="113"/>
      <c r="I14" s="113"/>
      <c r="J14" s="111"/>
      <c r="K14" s="195" t="str">
        <f t="shared" ca="1" si="0"/>
        <v/>
      </c>
      <c r="L14" s="196" t="str">
        <f ca="1">II1SA!C14</f>
        <v/>
      </c>
      <c r="M14" s="197" t="str">
        <f ca="1">II2SA!C14</f>
        <v/>
      </c>
      <c r="N14" s="122" t="str" cm="1">
        <f t="array" aca="1" ref="N14" ca="1">IF(COUNT(K14:M14)&gt;0,SUMPRODUCT((K14:M14&lt;&gt;"")*1,K14:M14,$K$39:$M$39)/SUMPRODUCT((K14:M14&lt;&gt;"")*1,$K$39:$M$39),"")</f>
        <v/>
      </c>
      <c r="O14" s="151" t="str">
        <f t="shared" ca="1" si="1"/>
        <v/>
      </c>
      <c r="P14" s="146"/>
      <c r="Q14" s="202" t="str">
        <f ca="1">'1. Halbjahr'!O14</f>
        <v/>
      </c>
      <c r="R14" s="150" t="str">
        <f t="shared" ca="1" si="2"/>
        <v/>
      </c>
      <c r="S14" s="385"/>
      <c r="T14" s="385"/>
      <c r="U14" s="385"/>
      <c r="V14" s="385"/>
      <c r="W14" s="385"/>
      <c r="X14" s="385"/>
      <c r="Y14" s="385"/>
      <c r="Z14" s="385"/>
      <c r="AA14" s="385"/>
      <c r="AB14" s="385"/>
      <c r="AC14" s="385"/>
      <c r="AD14" s="385"/>
      <c r="AE14" s="385"/>
      <c r="AF14" s="385"/>
      <c r="AG14" s="385"/>
      <c r="AH14" s="385"/>
      <c r="AI14" s="191"/>
    </row>
    <row r="15" spans="1:35" s="116" customFormat="1" ht="24.95" customHeight="1" x14ac:dyDescent="0.2">
      <c r="A15" s="140">
        <v>12</v>
      </c>
      <c r="B15" s="313" t="str">
        <f xml:space="preserve"> IF('1. Halbjahr'!B15="","",'1. Halbjahr'!B15)</f>
        <v/>
      </c>
      <c r="C15" s="118" t="str">
        <f ca="1">II1KA!C15</f>
        <v/>
      </c>
      <c r="D15" s="133" t="str">
        <f ca="1">II2KA!C15</f>
        <v/>
      </c>
      <c r="E15" s="132" t="str">
        <f ca="1">II1Ext!C15</f>
        <v/>
      </c>
      <c r="F15" s="121" t="str">
        <f ca="1">II2Ext!C15</f>
        <v/>
      </c>
      <c r="G15" s="121" t="str">
        <f ca="1">II3Ext!C15</f>
        <v/>
      </c>
      <c r="H15" s="113"/>
      <c r="I15" s="113"/>
      <c r="J15" s="111"/>
      <c r="K15" s="195" t="str">
        <f t="shared" ca="1" si="0"/>
        <v/>
      </c>
      <c r="L15" s="196" t="str">
        <f ca="1">II1SA!C15</f>
        <v/>
      </c>
      <c r="M15" s="197" t="str">
        <f ca="1">II2SA!C15</f>
        <v/>
      </c>
      <c r="N15" s="122" t="str" cm="1">
        <f t="array" aca="1" ref="N15" ca="1">IF(COUNT(K15:M15)&gt;0,SUMPRODUCT((K15:M15&lt;&gt;"")*1,K15:M15,$K$39:$M$39)/SUMPRODUCT((K15:M15&lt;&gt;"")*1,$K$39:$M$39),"")</f>
        <v/>
      </c>
      <c r="O15" s="151" t="str">
        <f t="shared" ca="1" si="1"/>
        <v/>
      </c>
      <c r="P15" s="146"/>
      <c r="Q15" s="202" t="str">
        <f ca="1">'1. Halbjahr'!O15</f>
        <v/>
      </c>
      <c r="R15" s="150" t="str">
        <f t="shared" ca="1" si="2"/>
        <v/>
      </c>
      <c r="S15" s="385"/>
      <c r="T15" s="385"/>
      <c r="U15" s="385"/>
      <c r="V15" s="385"/>
      <c r="W15" s="385"/>
      <c r="X15" s="385"/>
      <c r="Y15" s="385"/>
      <c r="Z15" s="385"/>
      <c r="AA15" s="385"/>
      <c r="AB15" s="385"/>
      <c r="AC15" s="385"/>
      <c r="AD15" s="385"/>
      <c r="AE15" s="385"/>
      <c r="AF15" s="385"/>
      <c r="AG15" s="385"/>
      <c r="AH15" s="385"/>
      <c r="AI15" s="191"/>
    </row>
    <row r="16" spans="1:35" s="116" customFormat="1" ht="24.95" customHeight="1" x14ac:dyDescent="0.2">
      <c r="A16" s="140">
        <v>13</v>
      </c>
      <c r="B16" s="312" t="str">
        <f xml:space="preserve"> IF('1. Halbjahr'!B16="","",'1. Halbjahr'!B16)</f>
        <v/>
      </c>
      <c r="C16" s="118" t="str">
        <f ca="1">II1KA!C16</f>
        <v/>
      </c>
      <c r="D16" s="133" t="str">
        <f ca="1">II2KA!C16</f>
        <v/>
      </c>
      <c r="E16" s="132" t="str">
        <f ca="1">II1Ext!C16</f>
        <v/>
      </c>
      <c r="F16" s="121" t="str">
        <f ca="1">II2Ext!C16</f>
        <v/>
      </c>
      <c r="G16" s="121" t="str">
        <f ca="1">II3Ext!C16</f>
        <v/>
      </c>
      <c r="H16" s="113"/>
      <c r="I16" s="113"/>
      <c r="J16" s="111"/>
      <c r="K16" s="195" t="str">
        <f t="shared" ca="1" si="0"/>
        <v/>
      </c>
      <c r="L16" s="196" t="str">
        <f ca="1">II1SA!C16</f>
        <v/>
      </c>
      <c r="M16" s="197" t="str">
        <f ca="1">II2SA!C16</f>
        <v/>
      </c>
      <c r="N16" s="122" t="str" cm="1">
        <f t="array" aca="1" ref="N16" ca="1">IF(COUNT(K16:M16)&gt;0,SUMPRODUCT((K16:M16&lt;&gt;"")*1,K16:M16,$K$39:$M$39)/SUMPRODUCT((K16:M16&lt;&gt;"")*1,$K$39:$M$39),"")</f>
        <v/>
      </c>
      <c r="O16" s="151" t="str">
        <f t="shared" ca="1" si="1"/>
        <v/>
      </c>
      <c r="P16" s="146"/>
      <c r="Q16" s="202" t="str">
        <f ca="1">'1. Halbjahr'!O16</f>
        <v/>
      </c>
      <c r="R16" s="150" t="str">
        <f t="shared" ca="1" si="2"/>
        <v/>
      </c>
      <c r="S16" s="385"/>
      <c r="T16" s="385"/>
      <c r="U16" s="385"/>
      <c r="V16" s="385"/>
      <c r="W16" s="385"/>
      <c r="X16" s="385"/>
      <c r="Y16" s="385"/>
      <c r="Z16" s="385"/>
      <c r="AA16" s="385"/>
      <c r="AB16" s="385"/>
      <c r="AC16" s="385"/>
      <c r="AD16" s="385"/>
      <c r="AE16" s="385"/>
      <c r="AF16" s="385"/>
      <c r="AG16" s="385"/>
      <c r="AH16" s="385"/>
      <c r="AI16" s="191"/>
    </row>
    <row r="17" spans="1:35" s="116" customFormat="1" ht="24.95" customHeight="1" x14ac:dyDescent="0.2">
      <c r="A17" s="140">
        <v>14</v>
      </c>
      <c r="B17" s="314" t="str">
        <f xml:space="preserve"> IF('1. Halbjahr'!B17="","",'1. Halbjahr'!B17)</f>
        <v/>
      </c>
      <c r="C17" s="118" t="str">
        <f ca="1">II1KA!C17</f>
        <v/>
      </c>
      <c r="D17" s="133" t="str">
        <f ca="1">II2KA!C17</f>
        <v/>
      </c>
      <c r="E17" s="132" t="str">
        <f ca="1">II1Ext!C17</f>
        <v/>
      </c>
      <c r="F17" s="121" t="str">
        <f ca="1">II2Ext!C17</f>
        <v/>
      </c>
      <c r="G17" s="121" t="str">
        <f ca="1">II3Ext!C17</f>
        <v/>
      </c>
      <c r="H17" s="113"/>
      <c r="I17" s="113"/>
      <c r="J17" s="111"/>
      <c r="K17" s="195" t="str">
        <f t="shared" ca="1" si="0"/>
        <v/>
      </c>
      <c r="L17" s="196" t="str">
        <f ca="1">II1SA!C17</f>
        <v/>
      </c>
      <c r="M17" s="197" t="str">
        <f ca="1">II2SA!C17</f>
        <v/>
      </c>
      <c r="N17" s="122" t="str" cm="1">
        <f t="array" aca="1" ref="N17" ca="1">IF(COUNT(K17:M17)&gt;0,SUMPRODUCT((K17:M17&lt;&gt;"")*1,K17:M17,$K$39:$M$39)/SUMPRODUCT((K17:M17&lt;&gt;"")*1,$K$39:$M$39),"")</f>
        <v/>
      </c>
      <c r="O17" s="151" t="str">
        <f t="shared" ca="1" si="1"/>
        <v/>
      </c>
      <c r="P17" s="146"/>
      <c r="Q17" s="202" t="str">
        <f ca="1">'1. Halbjahr'!O17</f>
        <v/>
      </c>
      <c r="R17" s="150" t="str">
        <f t="shared" ca="1" si="2"/>
        <v/>
      </c>
      <c r="S17" s="385"/>
      <c r="T17" s="385"/>
      <c r="U17" s="385"/>
      <c r="V17" s="385"/>
      <c r="W17" s="385"/>
      <c r="X17" s="385"/>
      <c r="Y17" s="385"/>
      <c r="Z17" s="385"/>
      <c r="AA17" s="385"/>
      <c r="AB17" s="385"/>
      <c r="AC17" s="385"/>
      <c r="AD17" s="385"/>
      <c r="AE17" s="385"/>
      <c r="AF17" s="385"/>
      <c r="AG17" s="385"/>
      <c r="AH17" s="385"/>
      <c r="AI17" s="191"/>
    </row>
    <row r="18" spans="1:35" s="116" customFormat="1" ht="24.95" customHeight="1" x14ac:dyDescent="0.2">
      <c r="A18" s="140">
        <v>15</v>
      </c>
      <c r="B18" s="313" t="str">
        <f xml:space="preserve"> IF('1. Halbjahr'!B18="","",'1. Halbjahr'!B18)</f>
        <v/>
      </c>
      <c r="C18" s="118" t="str">
        <f ca="1">II1KA!C18</f>
        <v/>
      </c>
      <c r="D18" s="133" t="str">
        <f ca="1">II2KA!C18</f>
        <v/>
      </c>
      <c r="E18" s="132" t="str">
        <f ca="1">II1Ext!C18</f>
        <v/>
      </c>
      <c r="F18" s="121" t="str">
        <f ca="1">II2Ext!C18</f>
        <v/>
      </c>
      <c r="G18" s="121" t="str">
        <f ca="1">II3Ext!C18</f>
        <v/>
      </c>
      <c r="H18" s="113"/>
      <c r="I18" s="113"/>
      <c r="J18" s="111"/>
      <c r="K18" s="195" t="str">
        <f t="shared" ca="1" si="0"/>
        <v/>
      </c>
      <c r="L18" s="196" t="str">
        <f ca="1">II1SA!C18</f>
        <v/>
      </c>
      <c r="M18" s="197" t="str">
        <f ca="1">II2SA!C18</f>
        <v/>
      </c>
      <c r="N18" s="122" t="str" cm="1">
        <f t="array" aca="1" ref="N18" ca="1">IF(COUNT(K18:M18)&gt;0,SUMPRODUCT((K18:M18&lt;&gt;"")*1,K18:M18,$K$39:$M$39)/SUMPRODUCT((K18:M18&lt;&gt;"")*1,$K$39:$M$39),"")</f>
        <v/>
      </c>
      <c r="O18" s="151" t="str">
        <f t="shared" ca="1" si="1"/>
        <v/>
      </c>
      <c r="P18" s="146"/>
      <c r="Q18" s="202" t="str">
        <f ca="1">'1. Halbjahr'!O18</f>
        <v/>
      </c>
      <c r="R18" s="150" t="str">
        <f t="shared" ca="1" si="2"/>
        <v/>
      </c>
      <c r="S18" s="385"/>
      <c r="T18" s="385"/>
      <c r="U18" s="385"/>
      <c r="V18" s="385"/>
      <c r="W18" s="385"/>
      <c r="X18" s="385"/>
      <c r="Y18" s="385"/>
      <c r="Z18" s="385"/>
      <c r="AA18" s="385"/>
      <c r="AB18" s="385"/>
      <c r="AC18" s="385"/>
      <c r="AD18" s="385"/>
      <c r="AE18" s="385"/>
      <c r="AF18" s="385"/>
      <c r="AG18" s="385"/>
      <c r="AH18" s="385"/>
      <c r="AI18" s="191"/>
    </row>
    <row r="19" spans="1:35" s="116" customFormat="1" ht="24.95" customHeight="1" x14ac:dyDescent="0.2">
      <c r="A19" s="140">
        <v>16</v>
      </c>
      <c r="B19" s="313" t="str">
        <f xml:space="preserve"> IF('1. Halbjahr'!B19="","",'1. Halbjahr'!B19)</f>
        <v/>
      </c>
      <c r="C19" s="118" t="str">
        <f ca="1">II1KA!C19</f>
        <v/>
      </c>
      <c r="D19" s="133" t="str">
        <f ca="1">II2KA!C19</f>
        <v/>
      </c>
      <c r="E19" s="132" t="str">
        <f ca="1">II1Ext!C19</f>
        <v/>
      </c>
      <c r="F19" s="121" t="str">
        <f ca="1">II2Ext!C19</f>
        <v/>
      </c>
      <c r="G19" s="121" t="str">
        <f ca="1">II3Ext!C19</f>
        <v/>
      </c>
      <c r="H19" s="113"/>
      <c r="I19" s="113"/>
      <c r="J19" s="111"/>
      <c r="K19" s="195" t="str">
        <f t="shared" ca="1" si="0"/>
        <v/>
      </c>
      <c r="L19" s="196" t="str">
        <f ca="1">II1SA!C19</f>
        <v/>
      </c>
      <c r="M19" s="197" t="str">
        <f ca="1">II2SA!C19</f>
        <v/>
      </c>
      <c r="N19" s="122" t="str" cm="1">
        <f t="array" aca="1" ref="N19" ca="1">IF(COUNT(K19:M19)&gt;0,SUMPRODUCT((K19:M19&lt;&gt;"")*1,K19:M19,$K$39:$M$39)/SUMPRODUCT((K19:M19&lt;&gt;"")*1,$K$39:$M$39),"")</f>
        <v/>
      </c>
      <c r="O19" s="151" t="str">
        <f t="shared" ca="1" si="1"/>
        <v/>
      </c>
      <c r="P19" s="146"/>
      <c r="Q19" s="202" t="str">
        <f ca="1">'1. Halbjahr'!O19</f>
        <v/>
      </c>
      <c r="R19" s="150" t="str">
        <f t="shared" ca="1" si="2"/>
        <v/>
      </c>
      <c r="S19" s="385"/>
      <c r="T19" s="385"/>
      <c r="U19" s="385"/>
      <c r="V19" s="385"/>
      <c r="W19" s="385"/>
      <c r="X19" s="385"/>
      <c r="Y19" s="385"/>
      <c r="Z19" s="385"/>
      <c r="AA19" s="385"/>
      <c r="AB19" s="385"/>
      <c r="AC19" s="385"/>
      <c r="AD19" s="385"/>
      <c r="AE19" s="385"/>
      <c r="AF19" s="385"/>
      <c r="AG19" s="385"/>
      <c r="AH19" s="385"/>
      <c r="AI19" s="191"/>
    </row>
    <row r="20" spans="1:35" s="116" customFormat="1" ht="24.95" customHeight="1" x14ac:dyDescent="0.2">
      <c r="A20" s="140">
        <v>17</v>
      </c>
      <c r="B20" s="313" t="str">
        <f xml:space="preserve"> IF('1. Halbjahr'!B20="","",'1. Halbjahr'!B20)</f>
        <v/>
      </c>
      <c r="C20" s="118" t="str">
        <f ca="1">II1KA!C20</f>
        <v/>
      </c>
      <c r="D20" s="133" t="str">
        <f ca="1">II2KA!C20</f>
        <v/>
      </c>
      <c r="E20" s="132" t="str">
        <f ca="1">II1Ext!C20</f>
        <v/>
      </c>
      <c r="F20" s="121" t="str">
        <f ca="1">II2Ext!C20</f>
        <v/>
      </c>
      <c r="G20" s="121" t="str">
        <f ca="1">II3Ext!C20</f>
        <v/>
      </c>
      <c r="H20" s="113"/>
      <c r="I20" s="113"/>
      <c r="J20" s="111"/>
      <c r="K20" s="195" t="str">
        <f t="shared" ca="1" si="0"/>
        <v/>
      </c>
      <c r="L20" s="196" t="str">
        <f ca="1">II1SA!C20</f>
        <v/>
      </c>
      <c r="M20" s="197" t="str">
        <f ca="1">II2SA!C20</f>
        <v/>
      </c>
      <c r="N20" s="122" t="str" cm="1">
        <f t="array" aca="1" ref="N20" ca="1">IF(COUNT(K20:M20)&gt;0,SUMPRODUCT((K20:M20&lt;&gt;"")*1,K20:M20,$K$39:$M$39)/SUMPRODUCT((K20:M20&lt;&gt;"")*1,$K$39:$M$39),"")</f>
        <v/>
      </c>
      <c r="O20" s="151" t="str">
        <f t="shared" ca="1" si="1"/>
        <v/>
      </c>
      <c r="P20" s="146"/>
      <c r="Q20" s="202" t="str">
        <f ca="1">'1. Halbjahr'!O20</f>
        <v/>
      </c>
      <c r="R20" s="150" t="str">
        <f t="shared" ca="1" si="2"/>
        <v/>
      </c>
      <c r="S20" s="385"/>
      <c r="T20" s="385"/>
      <c r="U20" s="385"/>
      <c r="V20" s="385"/>
      <c r="W20" s="385"/>
      <c r="X20" s="385"/>
      <c r="Y20" s="385"/>
      <c r="Z20" s="385"/>
      <c r="AA20" s="385"/>
      <c r="AB20" s="385"/>
      <c r="AC20" s="385"/>
      <c r="AD20" s="385"/>
      <c r="AE20" s="385"/>
      <c r="AF20" s="385"/>
      <c r="AG20" s="385"/>
      <c r="AH20" s="385"/>
      <c r="AI20" s="191"/>
    </row>
    <row r="21" spans="1:35" s="116" customFormat="1" ht="24.95" customHeight="1" x14ac:dyDescent="0.2">
      <c r="A21" s="140">
        <v>18</v>
      </c>
      <c r="B21" s="313" t="str">
        <f xml:space="preserve"> IF('1. Halbjahr'!B21="","",'1. Halbjahr'!B21)</f>
        <v/>
      </c>
      <c r="C21" s="118" t="str">
        <f ca="1">II1KA!C21</f>
        <v/>
      </c>
      <c r="D21" s="133" t="str">
        <f ca="1">II2KA!C21</f>
        <v/>
      </c>
      <c r="E21" s="132" t="str">
        <f ca="1">II1Ext!C21</f>
        <v/>
      </c>
      <c r="F21" s="121" t="str">
        <f ca="1">II2Ext!C21</f>
        <v/>
      </c>
      <c r="G21" s="121" t="str">
        <f ca="1">II3Ext!C21</f>
        <v/>
      </c>
      <c r="H21" s="113"/>
      <c r="I21" s="113"/>
      <c r="J21" s="111"/>
      <c r="K21" s="195" t="str">
        <f t="shared" ca="1" si="0"/>
        <v/>
      </c>
      <c r="L21" s="196" t="str">
        <f ca="1">II1SA!C21</f>
        <v/>
      </c>
      <c r="M21" s="197" t="str">
        <f ca="1">II2SA!C21</f>
        <v/>
      </c>
      <c r="N21" s="122" t="str" cm="1">
        <f t="array" aca="1" ref="N21" ca="1">IF(COUNT(K21:M21)&gt;0,SUMPRODUCT((K21:M21&lt;&gt;"")*1,K21:M21,$K$39:$M$39)/SUMPRODUCT((K21:M21&lt;&gt;"")*1,$K$39:$M$39),"")</f>
        <v/>
      </c>
      <c r="O21" s="151" t="str">
        <f t="shared" ca="1" si="1"/>
        <v/>
      </c>
      <c r="P21" s="146"/>
      <c r="Q21" s="202" t="str">
        <f ca="1">'1. Halbjahr'!O21</f>
        <v/>
      </c>
      <c r="R21" s="150" t="str">
        <f t="shared" ca="1" si="2"/>
        <v/>
      </c>
      <c r="S21" s="385"/>
      <c r="T21" s="385"/>
      <c r="U21" s="385"/>
      <c r="V21" s="385"/>
      <c r="W21" s="385"/>
      <c r="X21" s="385"/>
      <c r="Y21" s="385"/>
      <c r="Z21" s="385"/>
      <c r="AA21" s="385"/>
      <c r="AB21" s="385"/>
      <c r="AC21" s="385"/>
      <c r="AD21" s="385"/>
      <c r="AE21" s="385"/>
      <c r="AF21" s="385"/>
      <c r="AG21" s="385"/>
      <c r="AH21" s="385"/>
      <c r="AI21" s="191"/>
    </row>
    <row r="22" spans="1:35" s="116" customFormat="1" ht="24.95" customHeight="1" x14ac:dyDescent="0.2">
      <c r="A22" s="140">
        <v>19</v>
      </c>
      <c r="B22" s="312" t="str">
        <f xml:space="preserve"> IF('1. Halbjahr'!B22="","",'1. Halbjahr'!B22)</f>
        <v/>
      </c>
      <c r="C22" s="118" t="str">
        <f ca="1">II1KA!C22</f>
        <v/>
      </c>
      <c r="D22" s="133" t="str">
        <f ca="1">II2KA!C22</f>
        <v/>
      </c>
      <c r="E22" s="132" t="str">
        <f ca="1">II1Ext!C22</f>
        <v/>
      </c>
      <c r="F22" s="121" t="str">
        <f ca="1">II2Ext!C22</f>
        <v/>
      </c>
      <c r="G22" s="121" t="str">
        <f ca="1">II3Ext!C22</f>
        <v/>
      </c>
      <c r="H22" s="113"/>
      <c r="I22" s="113"/>
      <c r="J22" s="111"/>
      <c r="K22" s="195" t="str">
        <f t="shared" ca="1" si="0"/>
        <v/>
      </c>
      <c r="L22" s="196" t="str">
        <f ca="1">II1SA!C22</f>
        <v/>
      </c>
      <c r="M22" s="197" t="str">
        <f ca="1">II2SA!C22</f>
        <v/>
      </c>
      <c r="N22" s="122" t="str" cm="1">
        <f t="array" aca="1" ref="N22" ca="1">IF(COUNT(K22:M22)&gt;0,SUMPRODUCT((K22:M22&lt;&gt;"")*1,K22:M22,$K$39:$M$39)/SUMPRODUCT((K22:M22&lt;&gt;"")*1,$K$39:$M$39),"")</f>
        <v/>
      </c>
      <c r="O22" s="151" t="str">
        <f t="shared" ca="1" si="1"/>
        <v/>
      </c>
      <c r="P22" s="146"/>
      <c r="Q22" s="202" t="str">
        <f ca="1">'1. Halbjahr'!O22</f>
        <v/>
      </c>
      <c r="R22" s="150" t="str">
        <f t="shared" ca="1" si="2"/>
        <v/>
      </c>
      <c r="S22" s="385"/>
      <c r="T22" s="385"/>
      <c r="U22" s="385"/>
      <c r="V22" s="385"/>
      <c r="W22" s="385"/>
      <c r="X22" s="385"/>
      <c r="Y22" s="385"/>
      <c r="Z22" s="385"/>
      <c r="AA22" s="385"/>
      <c r="AB22" s="385"/>
      <c r="AC22" s="385"/>
      <c r="AD22" s="385"/>
      <c r="AE22" s="385"/>
      <c r="AF22" s="385"/>
      <c r="AG22" s="385"/>
      <c r="AH22" s="385"/>
      <c r="AI22" s="191"/>
    </row>
    <row r="23" spans="1:35" s="116" customFormat="1" ht="24.95" customHeight="1" x14ac:dyDescent="0.2">
      <c r="A23" s="140">
        <v>20</v>
      </c>
      <c r="B23" s="314" t="str">
        <f xml:space="preserve"> IF('1. Halbjahr'!B23="","",'1. Halbjahr'!B23)</f>
        <v/>
      </c>
      <c r="C23" s="118" t="str">
        <f ca="1">II1KA!C23</f>
        <v/>
      </c>
      <c r="D23" s="133" t="str">
        <f ca="1">II2KA!C23</f>
        <v/>
      </c>
      <c r="E23" s="132" t="str">
        <f ca="1">II1Ext!C23</f>
        <v/>
      </c>
      <c r="F23" s="121" t="str">
        <f ca="1">II2Ext!C23</f>
        <v/>
      </c>
      <c r="G23" s="121" t="str">
        <f ca="1">II3Ext!C23</f>
        <v/>
      </c>
      <c r="H23" s="113"/>
      <c r="I23" s="113"/>
      <c r="J23" s="111"/>
      <c r="K23" s="195" t="str">
        <f t="shared" ca="1" si="0"/>
        <v/>
      </c>
      <c r="L23" s="196" t="str">
        <f ca="1">II1SA!C23</f>
        <v/>
      </c>
      <c r="M23" s="197" t="str">
        <f ca="1">II2SA!C23</f>
        <v/>
      </c>
      <c r="N23" s="122" t="str" cm="1">
        <f t="array" aca="1" ref="N23" ca="1">IF(COUNT(K23:M23)&gt;0,SUMPRODUCT((K23:M23&lt;&gt;"")*1,K23:M23,$K$39:$M$39)/SUMPRODUCT((K23:M23&lt;&gt;"")*1,$K$39:$M$39),"")</f>
        <v/>
      </c>
      <c r="O23" s="151" t="str">
        <f t="shared" ca="1" si="1"/>
        <v/>
      </c>
      <c r="P23" s="146"/>
      <c r="Q23" s="202" t="str">
        <f ca="1">'1. Halbjahr'!O23</f>
        <v/>
      </c>
      <c r="R23" s="150" t="str">
        <f t="shared" ca="1" si="2"/>
        <v/>
      </c>
      <c r="S23" s="385"/>
      <c r="T23" s="385"/>
      <c r="U23" s="385"/>
      <c r="V23" s="385"/>
      <c r="W23" s="385"/>
      <c r="X23" s="385"/>
      <c r="Y23" s="385"/>
      <c r="Z23" s="385"/>
      <c r="AA23" s="385"/>
      <c r="AB23" s="385"/>
      <c r="AC23" s="385"/>
      <c r="AD23" s="385"/>
      <c r="AE23" s="385"/>
      <c r="AF23" s="385"/>
      <c r="AG23" s="385"/>
      <c r="AH23" s="385"/>
      <c r="AI23" s="191"/>
    </row>
    <row r="24" spans="1:35" s="116" customFormat="1" ht="24.95" customHeight="1" x14ac:dyDescent="0.2">
      <c r="A24" s="140">
        <v>21</v>
      </c>
      <c r="B24" s="314" t="str">
        <f xml:space="preserve"> IF('1. Halbjahr'!B24="","",'1. Halbjahr'!B24)</f>
        <v/>
      </c>
      <c r="C24" s="118" t="str">
        <f ca="1">II1KA!C24</f>
        <v/>
      </c>
      <c r="D24" s="133" t="str">
        <f ca="1">II2KA!C24</f>
        <v/>
      </c>
      <c r="E24" s="132" t="str">
        <f ca="1">II1Ext!C24</f>
        <v/>
      </c>
      <c r="F24" s="121" t="str">
        <f ca="1">II2Ext!C24</f>
        <v/>
      </c>
      <c r="G24" s="121" t="str">
        <f ca="1">II3Ext!C24</f>
        <v/>
      </c>
      <c r="H24" s="113"/>
      <c r="I24" s="113"/>
      <c r="J24" s="111"/>
      <c r="K24" s="195" t="str">
        <f t="shared" ca="1" si="0"/>
        <v/>
      </c>
      <c r="L24" s="196" t="str">
        <f ca="1">II1SA!C24</f>
        <v/>
      </c>
      <c r="M24" s="197" t="str">
        <f ca="1">II2SA!C24</f>
        <v/>
      </c>
      <c r="N24" s="122" t="str" cm="1">
        <f t="array" aca="1" ref="N24" ca="1">IF(COUNT(K24:M24)&gt;0,SUMPRODUCT((K24:M24&lt;&gt;"")*1,K24:M24,$K$39:$M$39)/SUMPRODUCT((K24:M24&lt;&gt;"")*1,$K$39:$M$39),"")</f>
        <v/>
      </c>
      <c r="O24" s="151" t="str">
        <f t="shared" ca="1" si="1"/>
        <v/>
      </c>
      <c r="P24" s="146"/>
      <c r="Q24" s="202" t="str">
        <f ca="1">'1. Halbjahr'!O24</f>
        <v/>
      </c>
      <c r="R24" s="150" t="str">
        <f t="shared" ca="1" si="2"/>
        <v/>
      </c>
      <c r="S24" s="385"/>
      <c r="T24" s="385"/>
      <c r="U24" s="385"/>
      <c r="V24" s="385"/>
      <c r="W24" s="385"/>
      <c r="X24" s="385"/>
      <c r="Y24" s="385"/>
      <c r="Z24" s="385"/>
      <c r="AA24" s="385"/>
      <c r="AB24" s="385"/>
      <c r="AC24" s="385"/>
      <c r="AD24" s="385"/>
      <c r="AE24" s="385"/>
      <c r="AF24" s="385"/>
      <c r="AG24" s="385"/>
      <c r="AH24" s="385"/>
      <c r="AI24" s="191"/>
    </row>
    <row r="25" spans="1:35" s="116" customFormat="1" ht="24.95" customHeight="1" x14ac:dyDescent="0.2">
      <c r="A25" s="140">
        <v>22</v>
      </c>
      <c r="B25" s="313" t="str">
        <f xml:space="preserve"> IF('1. Halbjahr'!B25="","",'1. Halbjahr'!B25)</f>
        <v/>
      </c>
      <c r="C25" s="118" t="str">
        <f ca="1">II1KA!C25</f>
        <v/>
      </c>
      <c r="D25" s="133" t="str">
        <f ca="1">II2KA!C25</f>
        <v/>
      </c>
      <c r="E25" s="132" t="str">
        <f ca="1">II1Ext!C25</f>
        <v/>
      </c>
      <c r="F25" s="121" t="str">
        <f ca="1">II2Ext!C25</f>
        <v/>
      </c>
      <c r="G25" s="121" t="str">
        <f ca="1">II3Ext!C25</f>
        <v/>
      </c>
      <c r="H25" s="113"/>
      <c r="I25" s="113"/>
      <c r="J25" s="111"/>
      <c r="K25" s="195" t="str">
        <f t="shared" ca="1" si="0"/>
        <v/>
      </c>
      <c r="L25" s="196" t="str">
        <f ca="1">II1SA!C25</f>
        <v/>
      </c>
      <c r="M25" s="197" t="str">
        <f ca="1">II2SA!C25</f>
        <v/>
      </c>
      <c r="N25" s="122" t="str" cm="1">
        <f t="array" aca="1" ref="N25" ca="1">IF(COUNT(K25:M25)&gt;0,SUMPRODUCT((K25:M25&lt;&gt;"")*1,K25:M25,$K$39:$M$39)/SUMPRODUCT((K25:M25&lt;&gt;"")*1,$K$39:$M$39),"")</f>
        <v/>
      </c>
      <c r="O25" s="151" t="str">
        <f t="shared" ca="1" si="1"/>
        <v/>
      </c>
      <c r="P25" s="146"/>
      <c r="Q25" s="202" t="str">
        <f ca="1">'1. Halbjahr'!O25</f>
        <v/>
      </c>
      <c r="R25" s="150" t="str">
        <f t="shared" ca="1" si="2"/>
        <v/>
      </c>
      <c r="S25" s="385"/>
      <c r="T25" s="385"/>
      <c r="U25" s="385"/>
      <c r="V25" s="385"/>
      <c r="W25" s="385"/>
      <c r="X25" s="385"/>
      <c r="Y25" s="385"/>
      <c r="Z25" s="385"/>
      <c r="AA25" s="385"/>
      <c r="AB25" s="385"/>
      <c r="AC25" s="385"/>
      <c r="AD25" s="385"/>
      <c r="AE25" s="385"/>
      <c r="AF25" s="385"/>
      <c r="AG25" s="385"/>
      <c r="AH25" s="385"/>
      <c r="AI25" s="191"/>
    </row>
    <row r="26" spans="1:35" s="116" customFormat="1" ht="24.95" customHeight="1" x14ac:dyDescent="0.2">
      <c r="A26" s="140">
        <v>23</v>
      </c>
      <c r="B26" s="312" t="str">
        <f xml:space="preserve"> IF('1. Halbjahr'!B26="","",'1. Halbjahr'!B26)</f>
        <v/>
      </c>
      <c r="C26" s="118" t="str">
        <f ca="1">II1KA!C26</f>
        <v/>
      </c>
      <c r="D26" s="133" t="str">
        <f ca="1">II2KA!C26</f>
        <v/>
      </c>
      <c r="E26" s="132" t="str">
        <f ca="1">II1Ext!C26</f>
        <v/>
      </c>
      <c r="F26" s="121" t="str">
        <f ca="1">II2Ext!C26</f>
        <v/>
      </c>
      <c r="G26" s="121" t="str">
        <f ca="1">II3Ext!C26</f>
        <v/>
      </c>
      <c r="H26" s="113"/>
      <c r="I26" s="113"/>
      <c r="J26" s="111"/>
      <c r="K26" s="195" t="str">
        <f t="shared" ca="1" si="0"/>
        <v/>
      </c>
      <c r="L26" s="196" t="str">
        <f ca="1">II1SA!C26</f>
        <v/>
      </c>
      <c r="M26" s="197" t="str">
        <f ca="1">II2SA!C26</f>
        <v/>
      </c>
      <c r="N26" s="122" t="str" cm="1">
        <f t="array" aca="1" ref="N26" ca="1">IF(COUNT(K26:M26)&gt;0,SUMPRODUCT((K26:M26&lt;&gt;"")*1,K26:M26,$K$39:$M$39)/SUMPRODUCT((K26:M26&lt;&gt;"")*1,$K$39:$M$39),"")</f>
        <v/>
      </c>
      <c r="O26" s="151" t="str">
        <f t="shared" ca="1" si="1"/>
        <v/>
      </c>
      <c r="P26" s="146"/>
      <c r="Q26" s="202" t="str">
        <f ca="1">'1. Halbjahr'!O26</f>
        <v/>
      </c>
      <c r="R26" s="150" t="str">
        <f t="shared" ca="1" si="2"/>
        <v/>
      </c>
      <c r="S26" s="385"/>
      <c r="T26" s="385"/>
      <c r="U26" s="385"/>
      <c r="V26" s="385"/>
      <c r="W26" s="385"/>
      <c r="X26" s="385"/>
      <c r="Y26" s="385"/>
      <c r="Z26" s="385"/>
      <c r="AA26" s="385"/>
      <c r="AB26" s="385"/>
      <c r="AC26" s="385"/>
      <c r="AD26" s="385"/>
      <c r="AE26" s="385"/>
      <c r="AF26" s="385"/>
      <c r="AG26" s="385"/>
      <c r="AH26" s="385"/>
      <c r="AI26" s="191"/>
    </row>
    <row r="27" spans="1:35" s="116" customFormat="1" ht="24.95" customHeight="1" x14ac:dyDescent="0.2">
      <c r="A27" s="140">
        <v>24</v>
      </c>
      <c r="B27" s="314" t="str">
        <f xml:space="preserve"> IF('1. Halbjahr'!B27="","",'1. Halbjahr'!B27)</f>
        <v/>
      </c>
      <c r="C27" s="118" t="str">
        <f ca="1">II1KA!C27</f>
        <v/>
      </c>
      <c r="D27" s="133" t="str">
        <f ca="1">II2KA!C27</f>
        <v/>
      </c>
      <c r="E27" s="132" t="str">
        <f ca="1">II1Ext!C27</f>
        <v/>
      </c>
      <c r="F27" s="121" t="str">
        <f ca="1">II2Ext!C27</f>
        <v/>
      </c>
      <c r="G27" s="121" t="str">
        <f ca="1">II3Ext!C27</f>
        <v/>
      </c>
      <c r="H27" s="113"/>
      <c r="I27" s="113"/>
      <c r="J27" s="111"/>
      <c r="K27" s="195" t="str">
        <f t="shared" ca="1" si="0"/>
        <v/>
      </c>
      <c r="L27" s="196" t="str">
        <f ca="1">II1SA!C27</f>
        <v/>
      </c>
      <c r="M27" s="197" t="str">
        <f ca="1">II2SA!C27</f>
        <v/>
      </c>
      <c r="N27" s="122" t="str" cm="1">
        <f t="array" aca="1" ref="N27" ca="1">IF(COUNT(K27:M27)&gt;0,SUMPRODUCT((K27:M27&lt;&gt;"")*1,K27:M27,$K$39:$M$39)/SUMPRODUCT((K27:M27&lt;&gt;"")*1,$K$39:$M$39),"")</f>
        <v/>
      </c>
      <c r="O27" s="151" t="str">
        <f t="shared" ca="1" si="1"/>
        <v/>
      </c>
      <c r="P27" s="146"/>
      <c r="Q27" s="202" t="str">
        <f ca="1">'1. Halbjahr'!O27</f>
        <v/>
      </c>
      <c r="R27" s="150" t="str">
        <f t="shared" ca="1" si="2"/>
        <v/>
      </c>
      <c r="S27" s="385"/>
      <c r="T27" s="385"/>
      <c r="U27" s="385"/>
      <c r="V27" s="385"/>
      <c r="W27" s="385"/>
      <c r="X27" s="385"/>
      <c r="Y27" s="385"/>
      <c r="Z27" s="385"/>
      <c r="AA27" s="385"/>
      <c r="AB27" s="385"/>
      <c r="AC27" s="385"/>
      <c r="AD27" s="385"/>
      <c r="AE27" s="385"/>
      <c r="AF27" s="385"/>
      <c r="AG27" s="385"/>
      <c r="AH27" s="385"/>
      <c r="AI27" s="191"/>
    </row>
    <row r="28" spans="1:35" s="116" customFormat="1" ht="24.95" customHeight="1" x14ac:dyDescent="0.2">
      <c r="A28" s="140">
        <v>25</v>
      </c>
      <c r="B28" s="314" t="str">
        <f xml:space="preserve"> IF('1. Halbjahr'!B28="","",'1. Halbjahr'!B28)</f>
        <v/>
      </c>
      <c r="C28" s="118" t="str">
        <f ca="1">II1KA!C28</f>
        <v/>
      </c>
      <c r="D28" s="133" t="str">
        <f ca="1">II2KA!C28</f>
        <v/>
      </c>
      <c r="E28" s="132" t="str">
        <f ca="1">II1Ext!C28</f>
        <v/>
      </c>
      <c r="F28" s="121" t="str">
        <f ca="1">II2Ext!C28</f>
        <v/>
      </c>
      <c r="G28" s="121" t="str">
        <f ca="1">II3Ext!C28</f>
        <v/>
      </c>
      <c r="H28" s="113"/>
      <c r="I28" s="113"/>
      <c r="J28" s="111"/>
      <c r="K28" s="195" t="str">
        <f t="shared" ca="1" si="0"/>
        <v/>
      </c>
      <c r="L28" s="196" t="str">
        <f ca="1">II1SA!C28</f>
        <v/>
      </c>
      <c r="M28" s="197" t="str">
        <f ca="1">II2SA!C28</f>
        <v/>
      </c>
      <c r="N28" s="122" t="str" cm="1">
        <f t="array" aca="1" ref="N28" ca="1">IF(COUNT(K28:M28)&gt;0,SUMPRODUCT((K28:M28&lt;&gt;"")*1,K28:M28,$K$39:$M$39)/SUMPRODUCT((K28:M28&lt;&gt;"")*1,$K$39:$M$39),"")</f>
        <v/>
      </c>
      <c r="O28" s="151" t="str">
        <f t="shared" ca="1" si="1"/>
        <v/>
      </c>
      <c r="P28" s="146"/>
      <c r="Q28" s="202" t="str">
        <f ca="1">'1. Halbjahr'!O28</f>
        <v/>
      </c>
      <c r="R28" s="150" t="str">
        <f t="shared" ca="1" si="2"/>
        <v/>
      </c>
      <c r="S28" s="385"/>
      <c r="T28" s="385"/>
      <c r="U28" s="385"/>
      <c r="V28" s="385"/>
      <c r="W28" s="385"/>
      <c r="X28" s="385"/>
      <c r="Y28" s="385"/>
      <c r="Z28" s="385"/>
      <c r="AA28" s="385"/>
      <c r="AB28" s="385"/>
      <c r="AC28" s="385"/>
      <c r="AD28" s="385"/>
      <c r="AE28" s="385"/>
      <c r="AF28" s="385"/>
      <c r="AG28" s="385"/>
      <c r="AH28" s="385"/>
      <c r="AI28" s="191"/>
    </row>
    <row r="29" spans="1:35" s="116" customFormat="1" ht="24.95" customHeight="1" x14ac:dyDescent="0.2">
      <c r="A29" s="140">
        <v>26</v>
      </c>
      <c r="B29" s="314" t="str">
        <f xml:space="preserve"> IF('1. Halbjahr'!B29="","",'1. Halbjahr'!B29)</f>
        <v/>
      </c>
      <c r="C29" s="118" t="str">
        <f ca="1">II1KA!C29</f>
        <v/>
      </c>
      <c r="D29" s="133" t="str">
        <f ca="1">II2KA!C29</f>
        <v/>
      </c>
      <c r="E29" s="132" t="str">
        <f ca="1">II1Ext!C29</f>
        <v/>
      </c>
      <c r="F29" s="121" t="str">
        <f ca="1">II2Ext!C29</f>
        <v/>
      </c>
      <c r="G29" s="121" t="str">
        <f ca="1">II3Ext!C29</f>
        <v/>
      </c>
      <c r="H29" s="113"/>
      <c r="I29" s="113"/>
      <c r="J29" s="111"/>
      <c r="K29" s="195" t="str">
        <f t="shared" ca="1" si="0"/>
        <v/>
      </c>
      <c r="L29" s="196" t="str">
        <f ca="1">II1SA!C29</f>
        <v/>
      </c>
      <c r="M29" s="197" t="str">
        <f ca="1">II2SA!C29</f>
        <v/>
      </c>
      <c r="N29" s="122" t="str" cm="1">
        <f t="array" aca="1" ref="N29" ca="1">IF(COUNT(K29:M29)&gt;0,SUMPRODUCT((K29:M29&lt;&gt;"")*1,K29:M29,$K$39:$M$39)/SUMPRODUCT((K29:M29&lt;&gt;"")*1,$K$39:$M$39),"")</f>
        <v/>
      </c>
      <c r="O29" s="151" t="str">
        <f t="shared" ca="1" si="1"/>
        <v/>
      </c>
      <c r="P29" s="146"/>
      <c r="Q29" s="202" t="str">
        <f ca="1">'1. Halbjahr'!O29</f>
        <v/>
      </c>
      <c r="R29" s="150" t="str">
        <f t="shared" ca="1" si="2"/>
        <v/>
      </c>
      <c r="S29" s="385"/>
      <c r="T29" s="385"/>
      <c r="U29" s="385"/>
      <c r="V29" s="385"/>
      <c r="W29" s="385"/>
      <c r="X29" s="385"/>
      <c r="Y29" s="385"/>
      <c r="Z29" s="385"/>
      <c r="AA29" s="385"/>
      <c r="AB29" s="385"/>
      <c r="AC29" s="385"/>
      <c r="AD29" s="385"/>
      <c r="AE29" s="385"/>
      <c r="AF29" s="385"/>
      <c r="AG29" s="385"/>
      <c r="AH29" s="385"/>
      <c r="AI29" s="191"/>
    </row>
    <row r="30" spans="1:35" s="116" customFormat="1" ht="24.95" customHeight="1" x14ac:dyDescent="0.2">
      <c r="A30" s="140">
        <v>27</v>
      </c>
      <c r="B30" s="312" t="str">
        <f xml:space="preserve"> IF('1. Halbjahr'!B30="","",'1. Halbjahr'!B30)</f>
        <v/>
      </c>
      <c r="C30" s="118" t="str">
        <f ca="1">II1KA!C30</f>
        <v/>
      </c>
      <c r="D30" s="133" t="str">
        <f ca="1">II2KA!C30</f>
        <v/>
      </c>
      <c r="E30" s="132" t="str">
        <f ca="1">II1Ext!C30</f>
        <v/>
      </c>
      <c r="F30" s="121" t="str">
        <f ca="1">II2Ext!C30</f>
        <v/>
      </c>
      <c r="G30" s="121" t="str">
        <f ca="1">II3Ext!C30</f>
        <v/>
      </c>
      <c r="H30" s="113"/>
      <c r="I30" s="113"/>
      <c r="J30" s="111"/>
      <c r="K30" s="195" t="str">
        <f t="shared" ca="1" si="0"/>
        <v/>
      </c>
      <c r="L30" s="196" t="str">
        <f ca="1">II1SA!C30</f>
        <v/>
      </c>
      <c r="M30" s="197" t="str">
        <f ca="1">II2SA!C30</f>
        <v/>
      </c>
      <c r="N30" s="122" t="str" cm="1">
        <f t="array" aca="1" ref="N30" ca="1">IF(COUNT(K30:M30)&gt;0,SUMPRODUCT((K30:M30&lt;&gt;"")*1,K30:M30,$K$39:$M$39)/SUMPRODUCT((K30:M30&lt;&gt;"")*1,$K$39:$M$39),"")</f>
        <v/>
      </c>
      <c r="O30" s="151" t="str">
        <f t="shared" ca="1" si="1"/>
        <v/>
      </c>
      <c r="P30" s="146"/>
      <c r="Q30" s="202" t="str">
        <f ca="1">'1. Halbjahr'!O30</f>
        <v/>
      </c>
      <c r="R30" s="150" t="str">
        <f t="shared" ca="1" si="2"/>
        <v/>
      </c>
      <c r="S30" s="385"/>
      <c r="T30" s="385"/>
      <c r="U30" s="385"/>
      <c r="V30" s="385"/>
      <c r="W30" s="385"/>
      <c r="X30" s="385"/>
      <c r="Y30" s="385"/>
      <c r="Z30" s="385"/>
      <c r="AA30" s="385"/>
      <c r="AB30" s="385"/>
      <c r="AC30" s="385"/>
      <c r="AD30" s="385"/>
      <c r="AE30" s="385"/>
      <c r="AF30" s="385"/>
      <c r="AG30" s="385"/>
      <c r="AH30" s="385"/>
      <c r="AI30" s="191"/>
    </row>
    <row r="31" spans="1:35" s="116" customFormat="1" ht="24.95" customHeight="1" x14ac:dyDescent="0.2">
      <c r="A31" s="140">
        <v>28</v>
      </c>
      <c r="B31" s="314" t="str">
        <f xml:space="preserve"> IF('1. Halbjahr'!B31="","",'1. Halbjahr'!B31)</f>
        <v/>
      </c>
      <c r="C31" s="118" t="str">
        <f ca="1">II1KA!C31</f>
        <v/>
      </c>
      <c r="D31" s="133" t="str">
        <f ca="1">II2KA!C31</f>
        <v/>
      </c>
      <c r="E31" s="132" t="str">
        <f ca="1">II1Ext!C31</f>
        <v/>
      </c>
      <c r="F31" s="121" t="str">
        <f ca="1">II2Ext!C31</f>
        <v/>
      </c>
      <c r="G31" s="121" t="str">
        <f ca="1">II3Ext!C31</f>
        <v/>
      </c>
      <c r="H31" s="113"/>
      <c r="I31" s="113"/>
      <c r="J31" s="111"/>
      <c r="K31" s="195" t="str">
        <f t="shared" ca="1" si="0"/>
        <v/>
      </c>
      <c r="L31" s="196" t="str">
        <f ca="1">II1SA!C31</f>
        <v/>
      </c>
      <c r="M31" s="197" t="str">
        <f ca="1">II2SA!C31</f>
        <v/>
      </c>
      <c r="N31" s="122" t="str" cm="1">
        <f t="array" aca="1" ref="N31" ca="1">IF(COUNT(K31:M31)&gt;0,SUMPRODUCT((K31:M31&lt;&gt;"")*1,K31:M31,$K$39:$M$39)/SUMPRODUCT((K31:M31&lt;&gt;"")*1,$K$39:$M$39),"")</f>
        <v/>
      </c>
      <c r="O31" s="151" t="str">
        <f t="shared" ca="1" si="1"/>
        <v/>
      </c>
      <c r="P31" s="146"/>
      <c r="Q31" s="202" t="str">
        <f ca="1">'1. Halbjahr'!O31</f>
        <v/>
      </c>
      <c r="R31" s="150" t="str">
        <f t="shared" ca="1" si="2"/>
        <v/>
      </c>
      <c r="S31" s="385"/>
      <c r="T31" s="385"/>
      <c r="U31" s="385"/>
      <c r="V31" s="385"/>
      <c r="W31" s="385"/>
      <c r="X31" s="385"/>
      <c r="Y31" s="385"/>
      <c r="Z31" s="385"/>
      <c r="AA31" s="385"/>
      <c r="AB31" s="385"/>
      <c r="AC31" s="385"/>
      <c r="AD31" s="385"/>
      <c r="AE31" s="385"/>
      <c r="AF31" s="385"/>
      <c r="AG31" s="385"/>
      <c r="AH31" s="385"/>
      <c r="AI31" s="191"/>
    </row>
    <row r="32" spans="1:35" s="116" customFormat="1" ht="24.95" customHeight="1" x14ac:dyDescent="0.2">
      <c r="A32" s="140">
        <v>29</v>
      </c>
      <c r="B32" s="312" t="str">
        <f xml:space="preserve"> IF('1. Halbjahr'!B32="","",'1. Halbjahr'!B32)</f>
        <v/>
      </c>
      <c r="C32" s="118" t="str">
        <f ca="1">II1KA!C32</f>
        <v/>
      </c>
      <c r="D32" s="133" t="str">
        <f ca="1">II2KA!C32</f>
        <v/>
      </c>
      <c r="E32" s="132" t="str">
        <f ca="1">II1Ext!C32</f>
        <v/>
      </c>
      <c r="F32" s="121" t="str">
        <f ca="1">II2Ext!C32</f>
        <v/>
      </c>
      <c r="G32" s="121" t="str">
        <f ca="1">II3Ext!C32</f>
        <v/>
      </c>
      <c r="H32" s="113"/>
      <c r="I32" s="113"/>
      <c r="J32" s="111"/>
      <c r="K32" s="195" t="str">
        <f t="shared" ca="1" si="0"/>
        <v/>
      </c>
      <c r="L32" s="196" t="str">
        <f ca="1">II1SA!C32</f>
        <v/>
      </c>
      <c r="M32" s="197" t="str">
        <f ca="1">II2SA!C32</f>
        <v/>
      </c>
      <c r="N32" s="122" t="str" cm="1">
        <f t="array" aca="1" ref="N32" ca="1">IF(COUNT(K32:M32)&gt;0,SUMPRODUCT((K32:M32&lt;&gt;"")*1,K32:M32,$K$39:$M$39)/SUMPRODUCT((K32:M32&lt;&gt;"")*1,$K$39:$M$39),"")</f>
        <v/>
      </c>
      <c r="O32" s="151" t="str">
        <f t="shared" ca="1" si="1"/>
        <v/>
      </c>
      <c r="P32" s="146"/>
      <c r="Q32" s="202" t="str">
        <f ca="1">'1. Halbjahr'!O32</f>
        <v/>
      </c>
      <c r="R32" s="150" t="str">
        <f t="shared" ca="1" si="2"/>
        <v/>
      </c>
      <c r="S32" s="385"/>
      <c r="T32" s="385"/>
      <c r="U32" s="385"/>
      <c r="V32" s="385"/>
      <c r="W32" s="385"/>
      <c r="X32" s="385"/>
      <c r="Y32" s="385"/>
      <c r="Z32" s="385"/>
      <c r="AA32" s="385"/>
      <c r="AB32" s="385"/>
      <c r="AC32" s="385"/>
      <c r="AD32" s="385"/>
      <c r="AE32" s="385"/>
      <c r="AF32" s="385"/>
      <c r="AG32" s="385"/>
      <c r="AH32" s="385"/>
      <c r="AI32" s="191"/>
    </row>
    <row r="33" spans="1:35" s="116" customFormat="1" ht="24.95" customHeight="1" x14ac:dyDescent="0.2">
      <c r="A33" s="140">
        <v>30</v>
      </c>
      <c r="B33" s="314" t="str">
        <f xml:space="preserve"> IF('1. Halbjahr'!B33="","",'1. Halbjahr'!B33)</f>
        <v/>
      </c>
      <c r="C33" s="118" t="str">
        <f ca="1">II1KA!C33</f>
        <v/>
      </c>
      <c r="D33" s="133" t="str">
        <f ca="1">II2KA!C33</f>
        <v/>
      </c>
      <c r="E33" s="132" t="str">
        <f ca="1">II1Ext!C33</f>
        <v/>
      </c>
      <c r="F33" s="121" t="str">
        <f ca="1">II2Ext!C33</f>
        <v/>
      </c>
      <c r="G33" s="121" t="str">
        <f ca="1">II3Ext!C33</f>
        <v/>
      </c>
      <c r="H33" s="113"/>
      <c r="I33" s="113"/>
      <c r="J33" s="111"/>
      <c r="K33" s="195" t="str">
        <f t="shared" ca="1" si="0"/>
        <v/>
      </c>
      <c r="L33" s="196" t="str">
        <f ca="1">II1SA!C33</f>
        <v/>
      </c>
      <c r="M33" s="197" t="str">
        <f ca="1">II2SA!C33</f>
        <v/>
      </c>
      <c r="N33" s="122" t="str" cm="1">
        <f t="array" aca="1" ref="N33" ca="1">IF(COUNT(K33:M33)&gt;0,SUMPRODUCT((K33:M33&lt;&gt;"")*1,K33:M33,$K$39:$M$39)/SUMPRODUCT((K33:M33&lt;&gt;"")*1,$K$39:$M$39),"")</f>
        <v/>
      </c>
      <c r="O33" s="151" t="str">
        <f t="shared" ca="1" si="1"/>
        <v/>
      </c>
      <c r="P33" s="146"/>
      <c r="Q33" s="202" t="str">
        <f ca="1">'1. Halbjahr'!O33</f>
        <v/>
      </c>
      <c r="R33" s="150" t="str">
        <f t="shared" ca="1" si="2"/>
        <v/>
      </c>
      <c r="S33" s="385"/>
      <c r="T33" s="385"/>
      <c r="U33" s="385"/>
      <c r="V33" s="385"/>
      <c r="W33" s="385"/>
      <c r="X33" s="385"/>
      <c r="Y33" s="385"/>
      <c r="Z33" s="385"/>
      <c r="AA33" s="385"/>
      <c r="AB33" s="385"/>
      <c r="AC33" s="385"/>
      <c r="AD33" s="385"/>
      <c r="AE33" s="385"/>
      <c r="AF33" s="385"/>
      <c r="AG33" s="385"/>
      <c r="AH33" s="385"/>
      <c r="AI33" s="191"/>
    </row>
    <row r="34" spans="1:35" s="116" customFormat="1" ht="24.95" customHeight="1" x14ac:dyDescent="0.2">
      <c r="A34" s="140">
        <v>31</v>
      </c>
      <c r="B34" s="312" t="str">
        <f xml:space="preserve"> IF('1. Halbjahr'!B34="","",'1. Halbjahr'!B34)</f>
        <v/>
      </c>
      <c r="C34" s="118" t="str">
        <f ca="1">II1KA!C34</f>
        <v/>
      </c>
      <c r="D34" s="133" t="str">
        <f ca="1">II2KA!C34</f>
        <v/>
      </c>
      <c r="E34" s="132" t="str">
        <f ca="1">II1Ext!C34</f>
        <v/>
      </c>
      <c r="F34" s="121" t="str">
        <f ca="1">II2Ext!C34</f>
        <v/>
      </c>
      <c r="G34" s="121" t="str">
        <f ca="1">II3Ext!C34</f>
        <v/>
      </c>
      <c r="H34" s="113"/>
      <c r="I34" s="113"/>
      <c r="J34" s="111"/>
      <c r="K34" s="195" t="str">
        <f t="shared" ca="1" si="0"/>
        <v/>
      </c>
      <c r="L34" s="196" t="str">
        <f ca="1">II1SA!C34</f>
        <v/>
      </c>
      <c r="M34" s="197" t="str">
        <f ca="1">II2SA!C34</f>
        <v/>
      </c>
      <c r="N34" s="122" t="str" cm="1">
        <f t="array" aca="1" ref="N34" ca="1">IF(COUNT(K34:M34)&gt;0,SUMPRODUCT((K34:M34&lt;&gt;"")*1,K34:M34,$K$39:$M$39)/SUMPRODUCT((K34:M34&lt;&gt;"")*1,$K$39:$M$39),"")</f>
        <v/>
      </c>
      <c r="O34" s="151" t="str">
        <f t="shared" ca="1" si="1"/>
        <v/>
      </c>
      <c r="P34" s="146"/>
      <c r="Q34" s="202" t="str">
        <f ca="1">'1. Halbjahr'!O34</f>
        <v/>
      </c>
      <c r="R34" s="150" t="str">
        <f t="shared" ca="1" si="2"/>
        <v/>
      </c>
      <c r="S34" s="385"/>
      <c r="T34" s="385"/>
      <c r="U34" s="385"/>
      <c r="V34" s="385"/>
      <c r="W34" s="385"/>
      <c r="X34" s="385"/>
      <c r="Y34" s="385"/>
      <c r="Z34" s="385"/>
      <c r="AA34" s="385"/>
      <c r="AB34" s="385"/>
      <c r="AC34" s="385"/>
      <c r="AD34" s="385"/>
      <c r="AE34" s="385"/>
      <c r="AF34" s="385"/>
      <c r="AG34" s="385"/>
      <c r="AH34" s="385"/>
      <c r="AI34" s="191"/>
    </row>
    <row r="35" spans="1:35" s="116" customFormat="1" ht="24.95" customHeight="1" x14ac:dyDescent="0.2">
      <c r="A35" s="140">
        <v>32</v>
      </c>
      <c r="B35" s="314" t="str">
        <f xml:space="preserve"> IF('1. Halbjahr'!B35="","",'1. Halbjahr'!B35)</f>
        <v/>
      </c>
      <c r="C35" s="118" t="str">
        <f ca="1">II1KA!C35</f>
        <v/>
      </c>
      <c r="D35" s="133" t="str">
        <f ca="1">II2KA!C35</f>
        <v/>
      </c>
      <c r="E35" s="132" t="str">
        <f ca="1">II1Ext!C35</f>
        <v/>
      </c>
      <c r="F35" s="121" t="str">
        <f ca="1">II2Ext!C35</f>
        <v/>
      </c>
      <c r="G35" s="121" t="str">
        <f ca="1">II3Ext!C35</f>
        <v/>
      </c>
      <c r="H35" s="113"/>
      <c r="I35" s="113"/>
      <c r="J35" s="111"/>
      <c r="K35" s="195" t="str">
        <f t="shared" ca="1" si="0"/>
        <v/>
      </c>
      <c r="L35" s="196" t="str">
        <f ca="1">II1SA!C35</f>
        <v/>
      </c>
      <c r="M35" s="197" t="str">
        <f ca="1">II2SA!C35</f>
        <v/>
      </c>
      <c r="N35" s="122" t="str" cm="1">
        <f t="array" aca="1" ref="N35" ca="1">IF(COUNT(K35:M35)&gt;0,SUMPRODUCT((K35:M35&lt;&gt;"")*1,K35:M35,$K$39:$M$39)/SUMPRODUCT((K35:M35&lt;&gt;"")*1,$K$39:$M$39),"")</f>
        <v/>
      </c>
      <c r="O35" s="151" t="str">
        <f t="shared" ca="1" si="1"/>
        <v/>
      </c>
      <c r="P35" s="146"/>
      <c r="Q35" s="202" t="str">
        <f ca="1">'1. Halbjahr'!O35</f>
        <v/>
      </c>
      <c r="R35" s="150" t="str">
        <f t="shared" ca="1" si="2"/>
        <v/>
      </c>
      <c r="S35" s="385"/>
      <c r="T35" s="385"/>
      <c r="U35" s="385"/>
      <c r="V35" s="385"/>
      <c r="W35" s="385"/>
      <c r="X35" s="385"/>
      <c r="Y35" s="385"/>
      <c r="Z35" s="385"/>
      <c r="AA35" s="385"/>
      <c r="AB35" s="385"/>
      <c r="AC35" s="385"/>
      <c r="AD35" s="385"/>
      <c r="AE35" s="385"/>
      <c r="AF35" s="385"/>
      <c r="AG35" s="385"/>
      <c r="AH35" s="385"/>
      <c r="AI35" s="191"/>
    </row>
    <row r="36" spans="1:35" s="116" customFormat="1" ht="24.95" customHeight="1" x14ac:dyDescent="0.2">
      <c r="A36" s="140">
        <v>33</v>
      </c>
      <c r="B36" s="313" t="str">
        <f xml:space="preserve"> IF('1. Halbjahr'!B36="","",'1. Halbjahr'!B36)</f>
        <v/>
      </c>
      <c r="C36" s="118" t="str">
        <f ca="1">II1KA!C36</f>
        <v/>
      </c>
      <c r="D36" s="133" t="str">
        <f ca="1">II2KA!C36</f>
        <v/>
      </c>
      <c r="E36" s="132" t="str">
        <f ca="1">II1Ext!C36</f>
        <v/>
      </c>
      <c r="F36" s="121" t="str">
        <f ca="1">II2Ext!C36</f>
        <v/>
      </c>
      <c r="G36" s="121" t="str">
        <f ca="1">II3Ext!C36</f>
        <v/>
      </c>
      <c r="H36" s="113"/>
      <c r="I36" s="113"/>
      <c r="J36" s="111"/>
      <c r="K36" s="195" t="str">
        <f t="shared" ca="1" si="0"/>
        <v/>
      </c>
      <c r="L36" s="196" t="str">
        <f ca="1">II1SA!C36</f>
        <v/>
      </c>
      <c r="M36" s="197" t="str">
        <f ca="1">II2SA!C36</f>
        <v/>
      </c>
      <c r="N36" s="122" t="str" cm="1">
        <f t="array" aca="1" ref="N36" ca="1">IF(COUNT(K36:M36)&gt;0,SUMPRODUCT((K36:M36&lt;&gt;"")*1,K36:M36,$K$39:$M$39)/SUMPRODUCT((K36:M36&lt;&gt;"")*1,$K$39:$M$39),"")</f>
        <v/>
      </c>
      <c r="O36" s="151" t="str">
        <f t="shared" ca="1" si="1"/>
        <v/>
      </c>
      <c r="P36" s="146"/>
      <c r="Q36" s="202" t="str">
        <f ca="1">'1. Halbjahr'!O36</f>
        <v/>
      </c>
      <c r="R36" s="150" t="str">
        <f t="shared" ca="1" si="2"/>
        <v/>
      </c>
      <c r="S36" s="385"/>
      <c r="T36" s="385"/>
      <c r="U36" s="385"/>
      <c r="V36" s="385"/>
      <c r="W36" s="385"/>
      <c r="X36" s="385"/>
      <c r="Y36" s="385"/>
      <c r="Z36" s="385"/>
      <c r="AA36" s="385"/>
      <c r="AB36" s="385"/>
      <c r="AC36" s="385"/>
      <c r="AD36" s="385"/>
      <c r="AE36" s="385"/>
      <c r="AF36" s="385"/>
      <c r="AG36" s="385"/>
      <c r="AH36" s="385"/>
      <c r="AI36" s="191"/>
    </row>
    <row r="37" spans="1:35" s="116" customFormat="1" ht="24.95" customHeight="1" x14ac:dyDescent="0.2">
      <c r="A37" s="140">
        <v>34</v>
      </c>
      <c r="B37" s="312" t="str">
        <f xml:space="preserve"> IF('1. Halbjahr'!B37="","",'1. Halbjahr'!B37)</f>
        <v/>
      </c>
      <c r="C37" s="118" t="str">
        <f ca="1">II1KA!C37</f>
        <v/>
      </c>
      <c r="D37" s="133" t="str">
        <f ca="1">II2KA!C37</f>
        <v/>
      </c>
      <c r="E37" s="132" t="str">
        <f ca="1">II1Ext!C37</f>
        <v/>
      </c>
      <c r="F37" s="121" t="str">
        <f ca="1">II2Ext!C37</f>
        <v/>
      </c>
      <c r="G37" s="121" t="str">
        <f ca="1">II3Ext!C37</f>
        <v/>
      </c>
      <c r="H37" s="113"/>
      <c r="I37" s="113"/>
      <c r="J37" s="111"/>
      <c r="K37" s="195" t="str">
        <f t="shared" ca="1" si="0"/>
        <v/>
      </c>
      <c r="L37" s="196" t="str">
        <f ca="1">II1SA!C37</f>
        <v/>
      </c>
      <c r="M37" s="197" t="str">
        <f ca="1">II2SA!C37</f>
        <v/>
      </c>
      <c r="N37" s="122" t="str" cm="1">
        <f t="array" aca="1" ref="N37" ca="1">IF(COUNT(K37:M37)&gt;0,SUMPRODUCT((K37:M37&lt;&gt;"")*1,K37:M37,$K$39:$M$39)/SUMPRODUCT((K37:M37&lt;&gt;"")*1,$K$39:$M$39),"")</f>
        <v/>
      </c>
      <c r="O37" s="151" t="str">
        <f t="shared" ca="1" si="1"/>
        <v/>
      </c>
      <c r="P37" s="146"/>
      <c r="Q37" s="202" t="str">
        <f ca="1">'1. Halbjahr'!O37</f>
        <v/>
      </c>
      <c r="R37" s="150" t="str">
        <f t="shared" ca="1" si="2"/>
        <v/>
      </c>
      <c r="S37" s="385"/>
      <c r="T37" s="385"/>
      <c r="U37" s="385"/>
      <c r="V37" s="385"/>
      <c r="W37" s="385"/>
      <c r="X37" s="385"/>
      <c r="Y37" s="385"/>
      <c r="Z37" s="385"/>
      <c r="AA37" s="385"/>
      <c r="AB37" s="385"/>
      <c r="AC37" s="385"/>
      <c r="AD37" s="385"/>
      <c r="AE37" s="385"/>
      <c r="AF37" s="385"/>
      <c r="AG37" s="385"/>
      <c r="AH37" s="385"/>
      <c r="AI37" s="191"/>
    </row>
    <row r="38" spans="1:35" s="116" customFormat="1" ht="24.95" customHeight="1" thickBot="1" x14ac:dyDescent="0.25">
      <c r="A38" s="141">
        <v>35</v>
      </c>
      <c r="B38" s="311" t="str">
        <f xml:space="preserve"> IF('1. Halbjahr'!B38="","",'1. Halbjahr'!B38)</f>
        <v/>
      </c>
      <c r="C38" s="131" t="str">
        <f ca="1">II1KA!C38</f>
        <v/>
      </c>
      <c r="D38" s="134" t="str">
        <f ca="1">II2KA!C38</f>
        <v/>
      </c>
      <c r="E38" s="134" t="str">
        <f ca="1">II1Ext!C38</f>
        <v/>
      </c>
      <c r="F38" s="177" t="str">
        <f ca="1">II2Ext!C38</f>
        <v/>
      </c>
      <c r="G38" s="128" t="str">
        <f ca="1">II3Ext!C38</f>
        <v/>
      </c>
      <c r="H38" s="129"/>
      <c r="I38" s="129"/>
      <c r="J38" s="130"/>
      <c r="K38" s="201" t="str">
        <f t="shared" ca="1" si="0"/>
        <v/>
      </c>
      <c r="L38" s="308" t="str">
        <f ca="1">II1SA!C38</f>
        <v/>
      </c>
      <c r="M38" s="437" t="str">
        <f ca="1">II2SA!C38</f>
        <v/>
      </c>
      <c r="N38" s="122" t="str" cm="1">
        <f t="array" aca="1" ref="N38" ca="1">IF(COUNT(K38:M38)&gt;0,SUMPRODUCT((K38:M38&lt;&gt;"")*1,K38:M38,$K$39:$M$39)/SUMPRODUCT((K38:M38&lt;&gt;"")*1,$K$39:$M$39),"")</f>
        <v/>
      </c>
      <c r="O38" s="152" t="str">
        <f t="shared" ca="1" si="1"/>
        <v/>
      </c>
      <c r="P38" s="146"/>
      <c r="Q38" s="204" t="str">
        <f ca="1">'1. Halbjahr'!O38</f>
        <v/>
      </c>
      <c r="R38" s="309" t="str">
        <f t="shared" ca="1" si="2"/>
        <v/>
      </c>
      <c r="S38" s="385"/>
      <c r="T38" s="385"/>
      <c r="U38" s="385"/>
      <c r="V38" s="385"/>
      <c r="W38" s="385"/>
      <c r="X38" s="385"/>
      <c r="Y38" s="385"/>
      <c r="Z38" s="385"/>
      <c r="AA38" s="385"/>
      <c r="AB38" s="385"/>
      <c r="AC38" s="385"/>
      <c r="AD38" s="385"/>
      <c r="AE38" s="385"/>
      <c r="AF38" s="385"/>
      <c r="AG38" s="385"/>
      <c r="AH38" s="385"/>
      <c r="AI38" s="191"/>
    </row>
    <row r="39" spans="1:35" ht="20.100000000000001" customHeight="1" thickBot="1" x14ac:dyDescent="0.25">
      <c r="A39" s="137"/>
      <c r="B39" s="148" t="s">
        <v>31</v>
      </c>
      <c r="C39" s="380">
        <v>2</v>
      </c>
      <c r="D39" s="381">
        <v>2</v>
      </c>
      <c r="E39" s="381">
        <v>1</v>
      </c>
      <c r="F39" s="381">
        <v>1</v>
      </c>
      <c r="G39" s="381">
        <v>1</v>
      </c>
      <c r="H39" s="381">
        <v>1</v>
      </c>
      <c r="I39" s="381">
        <v>1</v>
      </c>
      <c r="J39" s="381">
        <v>1</v>
      </c>
      <c r="K39" s="439">
        <v>1</v>
      </c>
      <c r="L39" s="440">
        <v>1</v>
      </c>
      <c r="M39" s="438">
        <v>1</v>
      </c>
      <c r="N39" s="149"/>
      <c r="O39" s="147"/>
      <c r="P39" s="393"/>
      <c r="Q39" s="127"/>
      <c r="R39" s="147"/>
      <c r="S39" s="384"/>
      <c r="T39" s="384"/>
      <c r="U39" s="384"/>
      <c r="V39" s="384"/>
      <c r="W39" s="384"/>
      <c r="X39" s="384"/>
      <c r="Y39" s="384"/>
      <c r="Z39" s="384"/>
      <c r="AA39" s="384"/>
      <c r="AB39" s="384"/>
      <c r="AC39" s="384"/>
      <c r="AD39" s="384"/>
      <c r="AE39" s="384"/>
      <c r="AF39" s="384"/>
      <c r="AG39" s="384"/>
      <c r="AH39" s="384"/>
      <c r="AI39" s="115"/>
    </row>
    <row r="40" spans="1:35" x14ac:dyDescent="0.2">
      <c r="A40" s="384"/>
      <c r="B40" s="384"/>
      <c r="C40" s="384"/>
      <c r="D40" s="384"/>
      <c r="E40" s="384"/>
      <c r="F40" s="384"/>
      <c r="G40" s="384"/>
      <c r="H40" s="384"/>
      <c r="I40" s="384"/>
      <c r="J40" s="384"/>
      <c r="K40" s="384"/>
      <c r="L40" s="384"/>
      <c r="M40" s="384"/>
      <c r="N40" s="384"/>
      <c r="O40" s="384"/>
      <c r="P40" s="384"/>
      <c r="Q40" s="384"/>
      <c r="R40" s="384"/>
      <c r="S40" s="384"/>
      <c r="T40" s="384"/>
      <c r="U40" s="384"/>
      <c r="V40" s="384"/>
      <c r="W40" s="384"/>
      <c r="X40" s="384"/>
      <c r="Y40" s="384"/>
      <c r="Z40" s="384"/>
      <c r="AA40" s="384"/>
      <c r="AB40" s="384"/>
      <c r="AC40" s="384"/>
      <c r="AD40" s="384"/>
      <c r="AE40" s="384"/>
      <c r="AF40" s="384"/>
      <c r="AG40" s="384"/>
      <c r="AH40" s="384"/>
      <c r="AI40" s="115"/>
    </row>
    <row r="41" spans="1:35" x14ac:dyDescent="0.2">
      <c r="A41" s="384"/>
      <c r="B41" s="384"/>
      <c r="C41" s="384"/>
      <c r="D41" s="384"/>
      <c r="E41" s="384"/>
      <c r="F41" s="384"/>
      <c r="G41" s="384"/>
      <c r="H41" s="384"/>
      <c r="I41" s="384"/>
      <c r="J41" s="384"/>
      <c r="K41" s="384"/>
      <c r="L41" s="384"/>
      <c r="M41" s="384"/>
      <c r="N41" s="384"/>
      <c r="O41" s="384"/>
      <c r="P41" s="384"/>
      <c r="Q41" s="384"/>
      <c r="R41" s="384"/>
      <c r="S41" s="384"/>
      <c r="T41" s="384"/>
      <c r="U41" s="384"/>
      <c r="V41" s="384"/>
      <c r="W41" s="384"/>
      <c r="X41" s="384"/>
      <c r="Y41" s="384"/>
      <c r="Z41" s="384"/>
      <c r="AA41" s="384"/>
      <c r="AB41" s="384"/>
      <c r="AC41" s="384"/>
      <c r="AD41" s="384"/>
      <c r="AE41" s="384"/>
      <c r="AF41" s="384"/>
      <c r="AG41" s="384"/>
      <c r="AH41" s="384"/>
    </row>
    <row r="42" spans="1:35" x14ac:dyDescent="0.2">
      <c r="A42" s="384"/>
      <c r="B42" s="384"/>
      <c r="C42" s="384"/>
      <c r="D42" s="384"/>
      <c r="E42" s="384"/>
      <c r="F42" s="384"/>
      <c r="G42" s="384"/>
      <c r="H42" s="384"/>
      <c r="I42" s="384"/>
      <c r="J42" s="384"/>
      <c r="K42" s="384"/>
      <c r="L42" s="384"/>
      <c r="M42" s="384"/>
      <c r="N42" s="384"/>
      <c r="O42" s="384"/>
      <c r="P42" s="384"/>
      <c r="Q42" s="384"/>
      <c r="R42" s="384"/>
      <c r="S42" s="384"/>
      <c r="T42" s="384"/>
      <c r="U42" s="384"/>
      <c r="V42" s="384"/>
      <c r="W42" s="384"/>
      <c r="X42" s="384"/>
      <c r="Y42" s="384"/>
      <c r="Z42" s="384"/>
      <c r="AA42" s="384"/>
      <c r="AB42" s="384"/>
      <c r="AC42" s="384"/>
      <c r="AD42" s="384"/>
      <c r="AE42" s="384"/>
      <c r="AF42" s="384"/>
      <c r="AG42" s="384"/>
      <c r="AH42" s="384"/>
    </row>
    <row r="43" spans="1:35" x14ac:dyDescent="0.2">
      <c r="A43" s="441"/>
      <c r="B43" s="384"/>
      <c r="C43" s="384"/>
      <c r="D43" s="384"/>
      <c r="E43" s="384"/>
      <c r="F43" s="384"/>
      <c r="G43" s="384"/>
      <c r="H43" s="384"/>
      <c r="I43" s="384"/>
      <c r="J43" s="384"/>
      <c r="K43" s="384"/>
      <c r="L43" s="384"/>
      <c r="M43" s="384"/>
      <c r="N43" s="384"/>
      <c r="O43" s="384"/>
      <c r="P43" s="384"/>
      <c r="Q43" s="384"/>
      <c r="R43" s="384"/>
      <c r="S43" s="384"/>
      <c r="T43" s="384"/>
      <c r="U43" s="384"/>
      <c r="V43" s="384"/>
      <c r="W43" s="384"/>
      <c r="X43" s="384"/>
      <c r="Y43" s="384"/>
      <c r="Z43" s="384"/>
      <c r="AA43" s="384"/>
      <c r="AB43" s="384"/>
      <c r="AC43" s="384"/>
      <c r="AD43" s="384"/>
      <c r="AE43" s="384"/>
      <c r="AF43" s="384"/>
      <c r="AG43" s="384"/>
      <c r="AH43" s="384"/>
    </row>
    <row r="44" spans="1:35" x14ac:dyDescent="0.2">
      <c r="A44" s="441"/>
      <c r="B44" s="384"/>
      <c r="C44" s="384"/>
      <c r="D44" s="384"/>
      <c r="E44" s="384"/>
      <c r="F44" s="384"/>
      <c r="G44" s="384"/>
      <c r="H44" s="384"/>
      <c r="I44" s="384"/>
      <c r="J44" s="384"/>
      <c r="K44" s="384"/>
      <c r="L44" s="384"/>
      <c r="M44" s="384"/>
      <c r="N44" s="384"/>
      <c r="O44" s="384"/>
      <c r="P44" s="384"/>
      <c r="Q44" s="384"/>
      <c r="R44" s="384"/>
      <c r="S44" s="384"/>
      <c r="T44" s="384"/>
      <c r="U44" s="384"/>
      <c r="V44" s="384"/>
      <c r="W44" s="384"/>
      <c r="X44" s="384"/>
      <c r="Y44" s="384"/>
      <c r="Z44" s="384"/>
      <c r="AA44" s="384"/>
      <c r="AB44" s="384"/>
      <c r="AC44" s="384"/>
      <c r="AD44" s="384"/>
      <c r="AE44" s="384"/>
      <c r="AF44" s="384"/>
      <c r="AG44" s="384"/>
      <c r="AH44" s="384"/>
    </row>
    <row r="45" spans="1:35" x14ac:dyDescent="0.2">
      <c r="A45" s="441"/>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row>
    <row r="46" spans="1:35" x14ac:dyDescent="0.2">
      <c r="A46" s="441"/>
      <c r="B46" s="384"/>
      <c r="C46" s="384"/>
      <c r="D46" s="384"/>
      <c r="E46" s="384"/>
      <c r="F46" s="384"/>
      <c r="G46" s="384"/>
      <c r="H46" s="384"/>
      <c r="I46" s="384"/>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row>
    <row r="47" spans="1:35" x14ac:dyDescent="0.2">
      <c r="A47" s="441"/>
      <c r="B47" s="384"/>
      <c r="C47" s="384"/>
      <c r="D47" s="384"/>
      <c r="E47" s="384"/>
      <c r="F47" s="384"/>
      <c r="G47" s="384"/>
      <c r="H47" s="384"/>
      <c r="I47" s="384"/>
      <c r="J47" s="384"/>
      <c r="K47" s="384"/>
      <c r="L47" s="384"/>
      <c r="M47" s="384"/>
      <c r="N47" s="384"/>
      <c r="O47" s="384"/>
      <c r="P47" s="384"/>
      <c r="Q47" s="384"/>
      <c r="R47" s="384"/>
      <c r="S47" s="384"/>
      <c r="T47" s="384"/>
      <c r="U47" s="384"/>
      <c r="V47" s="384"/>
      <c r="W47" s="384"/>
      <c r="X47" s="384"/>
      <c r="Y47" s="384"/>
      <c r="Z47" s="384"/>
      <c r="AA47" s="384"/>
      <c r="AB47" s="384"/>
      <c r="AC47" s="384"/>
      <c r="AD47" s="384"/>
      <c r="AE47" s="384"/>
      <c r="AF47" s="384"/>
      <c r="AG47" s="384"/>
      <c r="AH47" s="384"/>
    </row>
    <row r="48" spans="1:35" x14ac:dyDescent="0.2">
      <c r="A48" s="441"/>
      <c r="B48" s="384"/>
      <c r="C48" s="384"/>
      <c r="D48" s="384"/>
      <c r="E48" s="384"/>
      <c r="F48" s="384"/>
      <c r="G48" s="384"/>
      <c r="H48" s="384"/>
      <c r="I48" s="384"/>
      <c r="J48" s="384"/>
      <c r="K48" s="384"/>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row>
    <row r="49" spans="1:34" x14ac:dyDescent="0.2">
      <c r="A49" s="441"/>
      <c r="B49" s="384"/>
      <c r="C49" s="384"/>
      <c r="D49" s="384"/>
      <c r="E49" s="384"/>
      <c r="F49" s="384"/>
      <c r="G49" s="384"/>
      <c r="H49" s="384"/>
      <c r="I49" s="384"/>
      <c r="J49" s="384"/>
      <c r="K49" s="384"/>
      <c r="L49" s="384"/>
      <c r="M49" s="384"/>
      <c r="N49" s="384"/>
      <c r="O49" s="384"/>
      <c r="P49" s="384"/>
      <c r="Q49" s="384"/>
      <c r="R49" s="384"/>
      <c r="S49" s="384"/>
      <c r="T49" s="384"/>
      <c r="U49" s="384"/>
      <c r="V49" s="384"/>
      <c r="W49" s="384"/>
      <c r="X49" s="384"/>
      <c r="Y49" s="384"/>
      <c r="Z49" s="384"/>
      <c r="AA49" s="384"/>
      <c r="AB49" s="384"/>
      <c r="AC49" s="384"/>
      <c r="AD49" s="384"/>
      <c r="AE49" s="384"/>
      <c r="AF49" s="384"/>
      <c r="AG49" s="384"/>
      <c r="AH49" s="384"/>
    </row>
    <row r="50" spans="1:34" x14ac:dyDescent="0.2">
      <c r="A50" s="441"/>
      <c r="B50" s="384"/>
      <c r="C50" s="384"/>
      <c r="D50" s="384"/>
      <c r="E50" s="384"/>
      <c r="F50" s="384"/>
      <c r="G50" s="384"/>
      <c r="H50" s="384"/>
      <c r="I50" s="384"/>
      <c r="J50" s="384"/>
      <c r="K50" s="384"/>
      <c r="L50" s="384"/>
      <c r="M50" s="384"/>
      <c r="N50" s="384"/>
      <c r="O50" s="384"/>
      <c r="P50" s="384"/>
      <c r="Q50" s="384"/>
      <c r="R50" s="384"/>
      <c r="S50" s="384"/>
      <c r="T50" s="384"/>
      <c r="U50" s="384"/>
      <c r="V50" s="384"/>
      <c r="W50" s="384"/>
      <c r="X50" s="384"/>
      <c r="Y50" s="384"/>
      <c r="Z50" s="384"/>
      <c r="AA50" s="384"/>
      <c r="AB50" s="384"/>
      <c r="AC50" s="384"/>
      <c r="AD50" s="384"/>
      <c r="AE50" s="384"/>
      <c r="AF50" s="384"/>
      <c r="AG50" s="384"/>
      <c r="AH50" s="384"/>
    </row>
    <row r="51" spans="1:34" x14ac:dyDescent="0.2">
      <c r="A51" s="441"/>
      <c r="B51" s="384"/>
      <c r="C51" s="384"/>
      <c r="D51" s="384"/>
      <c r="E51" s="384"/>
      <c r="F51" s="384"/>
      <c r="G51" s="384"/>
      <c r="H51" s="384"/>
      <c r="I51" s="384"/>
      <c r="J51" s="384"/>
      <c r="K51" s="384"/>
      <c r="L51" s="384"/>
      <c r="M51" s="384"/>
      <c r="N51" s="384"/>
      <c r="O51" s="384"/>
      <c r="P51" s="384"/>
      <c r="Q51" s="384"/>
      <c r="R51" s="384"/>
      <c r="S51" s="384"/>
      <c r="T51" s="384"/>
      <c r="U51" s="384"/>
      <c r="V51" s="384"/>
      <c r="W51" s="384"/>
      <c r="X51" s="384"/>
      <c r="Y51" s="384"/>
      <c r="Z51" s="384"/>
      <c r="AA51" s="384"/>
      <c r="AB51" s="384"/>
      <c r="AC51" s="384"/>
      <c r="AD51" s="384"/>
      <c r="AE51" s="384"/>
      <c r="AF51" s="384"/>
      <c r="AG51" s="384"/>
      <c r="AH51" s="384"/>
    </row>
    <row r="52" spans="1:34" x14ac:dyDescent="0.2">
      <c r="A52" s="441"/>
      <c r="B52" s="384"/>
      <c r="C52" s="384"/>
      <c r="D52" s="384"/>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row>
    <row r="53" spans="1:34" x14ac:dyDescent="0.2">
      <c r="A53" s="441"/>
      <c r="B53" s="384"/>
      <c r="C53" s="384"/>
      <c r="D53" s="384"/>
      <c r="E53" s="384"/>
      <c r="F53" s="384"/>
      <c r="G53" s="384"/>
      <c r="H53" s="384"/>
      <c r="I53" s="384"/>
      <c r="J53" s="384"/>
      <c r="K53" s="384"/>
      <c r="L53" s="384"/>
      <c r="M53" s="384"/>
      <c r="N53" s="384"/>
      <c r="O53" s="384"/>
      <c r="P53" s="384"/>
      <c r="Q53" s="384"/>
      <c r="R53" s="384"/>
      <c r="S53" s="384"/>
      <c r="T53" s="384"/>
      <c r="U53" s="384"/>
      <c r="V53" s="384"/>
      <c r="W53" s="384"/>
      <c r="X53" s="384"/>
      <c r="Y53" s="384"/>
      <c r="Z53" s="384"/>
      <c r="AA53" s="384"/>
      <c r="AB53" s="384"/>
      <c r="AC53" s="384"/>
      <c r="AD53" s="384"/>
      <c r="AE53" s="384"/>
      <c r="AF53" s="384"/>
      <c r="AG53" s="384"/>
      <c r="AH53" s="384"/>
    </row>
    <row r="54" spans="1:34" x14ac:dyDescent="0.2">
      <c r="A54" s="441"/>
      <c r="B54" s="384"/>
      <c r="C54" s="384"/>
      <c r="D54" s="384"/>
      <c r="E54" s="384"/>
      <c r="F54" s="384"/>
      <c r="G54" s="384"/>
      <c r="H54" s="384"/>
      <c r="I54" s="384"/>
      <c r="J54" s="384"/>
      <c r="K54" s="384"/>
      <c r="L54" s="384"/>
      <c r="M54" s="384"/>
      <c r="N54" s="384"/>
      <c r="O54" s="384"/>
      <c r="P54" s="384"/>
      <c r="Q54" s="384"/>
      <c r="R54" s="384"/>
      <c r="S54" s="384"/>
      <c r="T54" s="384"/>
      <c r="U54" s="384"/>
      <c r="V54" s="384"/>
      <c r="W54" s="384"/>
      <c r="X54" s="384"/>
      <c r="Y54" s="384"/>
      <c r="Z54" s="384"/>
      <c r="AA54" s="384"/>
      <c r="AB54" s="384"/>
      <c r="AC54" s="384"/>
      <c r="AD54" s="384"/>
      <c r="AE54" s="384"/>
      <c r="AF54" s="384"/>
      <c r="AG54" s="384"/>
      <c r="AH54" s="384"/>
    </row>
    <row r="55" spans="1:34" x14ac:dyDescent="0.2">
      <c r="A55" s="441"/>
      <c r="B55" s="384"/>
      <c r="C55" s="384"/>
      <c r="D55" s="384"/>
      <c r="E55" s="384"/>
      <c r="F55" s="384"/>
      <c r="G55" s="384"/>
      <c r="H55" s="384"/>
      <c r="I55" s="384"/>
      <c r="J55" s="384"/>
      <c r="K55" s="384"/>
      <c r="L55" s="384"/>
      <c r="M55" s="384"/>
      <c r="N55" s="384"/>
      <c r="O55" s="384"/>
      <c r="P55" s="384"/>
      <c r="Q55" s="384"/>
      <c r="R55" s="384"/>
      <c r="S55" s="384"/>
      <c r="T55" s="384"/>
      <c r="U55" s="384"/>
      <c r="V55" s="384"/>
      <c r="W55" s="384"/>
      <c r="X55" s="384"/>
      <c r="Y55" s="384"/>
      <c r="Z55" s="384"/>
      <c r="AA55" s="384"/>
      <c r="AB55" s="384"/>
      <c r="AC55" s="384"/>
      <c r="AD55" s="384"/>
      <c r="AE55" s="384"/>
      <c r="AF55" s="384"/>
      <c r="AG55" s="384"/>
      <c r="AH55" s="384"/>
    </row>
    <row r="56" spans="1:34" x14ac:dyDescent="0.2">
      <c r="A56" s="441"/>
      <c r="B56" s="384"/>
      <c r="C56" s="384"/>
      <c r="D56" s="384"/>
      <c r="E56" s="384"/>
      <c r="F56" s="384"/>
      <c r="G56" s="384"/>
      <c r="H56" s="384"/>
      <c r="I56" s="384"/>
      <c r="J56" s="384"/>
      <c r="K56" s="384"/>
      <c r="L56" s="384"/>
      <c r="M56" s="384"/>
      <c r="N56" s="384"/>
      <c r="O56" s="384"/>
      <c r="P56" s="384"/>
      <c r="Q56" s="384"/>
      <c r="R56" s="384"/>
      <c r="S56" s="384"/>
      <c r="T56" s="384"/>
      <c r="U56" s="384"/>
      <c r="V56" s="384"/>
      <c r="W56" s="384"/>
      <c r="X56" s="384"/>
      <c r="Y56" s="384"/>
      <c r="Z56" s="384"/>
      <c r="AA56" s="384"/>
      <c r="AB56" s="384"/>
      <c r="AC56" s="384"/>
      <c r="AD56" s="384"/>
      <c r="AE56" s="384"/>
      <c r="AF56" s="384"/>
      <c r="AG56" s="384"/>
      <c r="AH56" s="384"/>
    </row>
    <row r="57" spans="1:34" x14ac:dyDescent="0.2">
      <c r="A57" s="441"/>
      <c r="B57" s="384"/>
      <c r="C57" s="384"/>
      <c r="D57" s="384"/>
      <c r="E57" s="384"/>
      <c r="F57" s="384"/>
      <c r="G57" s="384"/>
      <c r="H57" s="384"/>
      <c r="I57" s="384"/>
      <c r="J57" s="384"/>
      <c r="K57" s="384"/>
      <c r="L57" s="384"/>
      <c r="M57" s="384"/>
      <c r="N57" s="384"/>
      <c r="O57" s="384"/>
      <c r="P57" s="384"/>
      <c r="Q57" s="384"/>
      <c r="R57" s="384"/>
      <c r="S57" s="384"/>
      <c r="T57" s="384"/>
      <c r="U57" s="384"/>
      <c r="V57" s="384"/>
      <c r="W57" s="384"/>
      <c r="X57" s="384"/>
      <c r="Y57" s="384"/>
      <c r="Z57" s="384"/>
      <c r="AA57" s="384"/>
      <c r="AB57" s="384"/>
      <c r="AC57" s="384"/>
      <c r="AD57" s="384"/>
      <c r="AE57" s="384"/>
      <c r="AF57" s="384"/>
      <c r="AG57" s="384"/>
      <c r="AH57" s="384"/>
    </row>
    <row r="58" spans="1:34" x14ac:dyDescent="0.2">
      <c r="A58" s="441"/>
      <c r="B58" s="384"/>
      <c r="C58" s="384"/>
      <c r="D58" s="384"/>
      <c r="E58" s="384"/>
      <c r="F58" s="384"/>
      <c r="G58" s="384"/>
      <c r="H58" s="384"/>
      <c r="I58" s="384"/>
      <c r="J58" s="384"/>
      <c r="K58" s="384"/>
      <c r="L58" s="384"/>
      <c r="M58" s="384"/>
      <c r="N58" s="384"/>
      <c r="O58" s="384"/>
      <c r="P58" s="384"/>
      <c r="Q58" s="384"/>
      <c r="R58" s="384"/>
      <c r="S58" s="384"/>
      <c r="T58" s="384"/>
      <c r="U58" s="384"/>
      <c r="V58" s="384"/>
      <c r="W58" s="384"/>
      <c r="X58" s="384"/>
      <c r="Y58" s="384"/>
      <c r="Z58" s="384"/>
      <c r="AA58" s="384"/>
      <c r="AB58" s="384"/>
      <c r="AC58" s="384"/>
      <c r="AD58" s="384"/>
      <c r="AE58" s="384"/>
      <c r="AF58" s="384"/>
      <c r="AG58" s="384"/>
      <c r="AH58" s="384"/>
    </row>
    <row r="59" spans="1:34" x14ac:dyDescent="0.2">
      <c r="A59" s="384"/>
      <c r="B59" s="384"/>
      <c r="C59" s="384"/>
      <c r="D59" s="384"/>
      <c r="E59" s="384"/>
      <c r="F59" s="384"/>
      <c r="G59" s="384"/>
      <c r="H59" s="384"/>
      <c r="I59" s="384"/>
      <c r="J59" s="384"/>
      <c r="K59" s="384"/>
      <c r="L59" s="384"/>
      <c r="M59" s="384"/>
      <c r="N59" s="384"/>
      <c r="O59" s="384"/>
      <c r="P59" s="384"/>
      <c r="Q59" s="384"/>
      <c r="R59" s="384"/>
      <c r="S59" s="384"/>
      <c r="T59" s="384"/>
      <c r="U59" s="384"/>
      <c r="V59" s="384"/>
      <c r="W59" s="384"/>
      <c r="X59" s="384"/>
      <c r="Y59" s="384"/>
      <c r="Z59" s="384"/>
      <c r="AA59" s="384"/>
      <c r="AB59" s="384"/>
      <c r="AC59" s="384"/>
      <c r="AD59" s="384"/>
      <c r="AE59" s="384"/>
      <c r="AF59" s="384"/>
      <c r="AG59" s="384"/>
      <c r="AH59" s="384"/>
    </row>
    <row r="60" spans="1:34" x14ac:dyDescent="0.2">
      <c r="A60" s="384"/>
      <c r="B60" s="384"/>
      <c r="C60" s="384"/>
      <c r="D60" s="384"/>
      <c r="E60" s="384"/>
      <c r="F60" s="384"/>
      <c r="G60" s="384"/>
      <c r="H60" s="384"/>
      <c r="I60" s="384"/>
      <c r="J60" s="384"/>
      <c r="K60" s="384"/>
      <c r="L60" s="384"/>
      <c r="M60" s="384"/>
      <c r="N60" s="384"/>
      <c r="O60" s="384"/>
      <c r="P60" s="384"/>
      <c r="Q60" s="384"/>
      <c r="R60" s="384"/>
      <c r="S60" s="384"/>
      <c r="T60" s="384"/>
      <c r="U60" s="384"/>
      <c r="V60" s="384"/>
      <c r="W60" s="384"/>
      <c r="X60" s="384"/>
      <c r="Y60" s="384"/>
      <c r="Z60" s="384"/>
      <c r="AA60" s="384"/>
      <c r="AB60" s="384"/>
      <c r="AC60" s="384"/>
      <c r="AD60" s="384"/>
      <c r="AE60" s="384"/>
      <c r="AF60" s="384"/>
      <c r="AG60" s="384"/>
      <c r="AH60" s="384"/>
    </row>
    <row r="61" spans="1:34" x14ac:dyDescent="0.2">
      <c r="A61" s="384"/>
      <c r="B61" s="384"/>
      <c r="C61" s="384"/>
      <c r="D61" s="384"/>
      <c r="E61" s="384"/>
      <c r="F61" s="384"/>
      <c r="G61" s="384"/>
      <c r="H61" s="384"/>
      <c r="I61" s="384"/>
      <c r="J61" s="384"/>
      <c r="K61" s="384"/>
      <c r="L61" s="384"/>
      <c r="M61" s="384"/>
      <c r="N61" s="384"/>
      <c r="O61" s="384"/>
      <c r="P61" s="384"/>
      <c r="Q61" s="384"/>
      <c r="R61" s="384"/>
      <c r="S61" s="384"/>
      <c r="T61" s="384"/>
      <c r="U61" s="384"/>
      <c r="V61" s="384"/>
      <c r="W61" s="384"/>
      <c r="X61" s="384"/>
      <c r="Y61" s="384"/>
      <c r="Z61" s="384"/>
      <c r="AA61" s="384"/>
      <c r="AB61" s="384"/>
      <c r="AC61" s="384"/>
      <c r="AD61" s="384"/>
      <c r="AE61" s="384"/>
      <c r="AF61" s="384"/>
      <c r="AG61" s="384"/>
      <c r="AH61" s="384"/>
    </row>
    <row r="62" spans="1:34" x14ac:dyDescent="0.2">
      <c r="A62" s="384"/>
      <c r="B62" s="384"/>
      <c r="C62" s="384"/>
      <c r="D62" s="384"/>
      <c r="E62" s="384"/>
      <c r="F62" s="384"/>
      <c r="G62" s="384"/>
      <c r="H62" s="384"/>
      <c r="I62" s="384"/>
      <c r="J62" s="384"/>
      <c r="K62" s="384"/>
      <c r="L62" s="384"/>
      <c r="M62" s="384"/>
      <c r="N62" s="384"/>
      <c r="O62" s="384"/>
      <c r="P62" s="384"/>
      <c r="Q62" s="384"/>
      <c r="R62" s="384"/>
      <c r="S62" s="384"/>
      <c r="T62" s="384"/>
      <c r="U62" s="384"/>
      <c r="V62" s="384"/>
      <c r="W62" s="384"/>
      <c r="X62" s="384"/>
      <c r="Y62" s="384"/>
      <c r="Z62" s="384"/>
      <c r="AA62" s="384"/>
      <c r="AB62" s="384"/>
      <c r="AC62" s="384"/>
      <c r="AD62" s="384"/>
      <c r="AE62" s="384"/>
      <c r="AF62" s="384"/>
      <c r="AG62" s="384"/>
      <c r="AH62" s="384"/>
    </row>
    <row r="63" spans="1:34" x14ac:dyDescent="0.2">
      <c r="A63" s="384"/>
      <c r="B63" s="384"/>
      <c r="C63" s="384"/>
      <c r="D63" s="384"/>
      <c r="E63" s="384"/>
      <c r="F63" s="384"/>
      <c r="G63" s="384"/>
      <c r="H63" s="384"/>
      <c r="I63" s="384"/>
      <c r="J63" s="384"/>
      <c r="K63" s="384"/>
      <c r="L63" s="384"/>
      <c r="M63" s="384"/>
      <c r="N63" s="384"/>
      <c r="O63" s="384"/>
      <c r="P63" s="384"/>
      <c r="Q63" s="384"/>
      <c r="R63" s="384"/>
      <c r="S63" s="384"/>
      <c r="T63" s="384"/>
      <c r="U63" s="384"/>
      <c r="V63" s="384"/>
      <c r="W63" s="384"/>
      <c r="X63" s="384"/>
      <c r="Y63" s="384"/>
      <c r="Z63" s="384"/>
      <c r="AA63" s="384"/>
      <c r="AB63" s="384"/>
      <c r="AC63" s="384"/>
      <c r="AD63" s="384"/>
      <c r="AE63" s="384"/>
      <c r="AF63" s="384"/>
      <c r="AG63" s="384"/>
      <c r="AH63" s="384"/>
    </row>
    <row r="64" spans="1:34" x14ac:dyDescent="0.2">
      <c r="A64" s="384"/>
      <c r="B64" s="384"/>
      <c r="C64" s="384"/>
      <c r="D64" s="384"/>
      <c r="E64" s="384"/>
      <c r="F64" s="384"/>
      <c r="G64" s="384"/>
      <c r="H64" s="384"/>
      <c r="I64" s="384"/>
      <c r="J64" s="384"/>
      <c r="K64" s="384"/>
      <c r="L64" s="384"/>
      <c r="M64" s="384"/>
      <c r="N64" s="384"/>
      <c r="O64" s="384"/>
      <c r="P64" s="384"/>
      <c r="Q64" s="384"/>
      <c r="R64" s="384"/>
      <c r="S64" s="384"/>
      <c r="T64" s="384"/>
      <c r="U64" s="384"/>
      <c r="V64" s="384"/>
      <c r="W64" s="384"/>
      <c r="X64" s="384"/>
      <c r="Y64" s="384"/>
      <c r="Z64" s="384"/>
      <c r="AA64" s="384"/>
      <c r="AB64" s="384"/>
      <c r="AC64" s="384"/>
      <c r="AD64" s="384"/>
      <c r="AE64" s="384"/>
      <c r="AF64" s="384"/>
      <c r="AG64" s="384"/>
      <c r="AH64" s="384"/>
    </row>
    <row r="65" spans="1:34" x14ac:dyDescent="0.2">
      <c r="A65" s="384"/>
      <c r="B65" s="384"/>
      <c r="C65" s="384"/>
      <c r="D65" s="384"/>
      <c r="E65" s="384"/>
      <c r="F65" s="384"/>
      <c r="G65" s="384"/>
      <c r="H65" s="384"/>
      <c r="I65" s="384"/>
      <c r="J65" s="384"/>
      <c r="K65" s="384"/>
      <c r="L65" s="384"/>
      <c r="M65" s="384"/>
      <c r="N65" s="384"/>
      <c r="O65" s="384"/>
      <c r="P65" s="384"/>
      <c r="Q65" s="384"/>
      <c r="R65" s="384"/>
      <c r="S65" s="384"/>
      <c r="T65" s="384"/>
      <c r="U65" s="384"/>
      <c r="V65" s="384"/>
      <c r="W65" s="384"/>
      <c r="X65" s="384"/>
      <c r="Y65" s="384"/>
      <c r="Z65" s="384"/>
      <c r="AA65" s="384"/>
      <c r="AB65" s="384"/>
      <c r="AC65" s="384"/>
      <c r="AD65" s="384"/>
      <c r="AE65" s="384"/>
      <c r="AF65" s="384"/>
      <c r="AG65" s="384"/>
      <c r="AH65" s="384"/>
    </row>
    <row r="66" spans="1:34" x14ac:dyDescent="0.2">
      <c r="A66" s="384"/>
      <c r="B66" s="384"/>
      <c r="C66" s="384"/>
      <c r="D66" s="384"/>
      <c r="E66" s="384"/>
      <c r="F66" s="384"/>
      <c r="G66" s="384"/>
      <c r="H66" s="384"/>
      <c r="I66" s="384"/>
      <c r="J66" s="384"/>
      <c r="K66" s="384"/>
      <c r="L66" s="384"/>
      <c r="M66" s="384"/>
      <c r="N66" s="384"/>
      <c r="O66" s="384"/>
      <c r="P66" s="384"/>
      <c r="Q66" s="384"/>
      <c r="R66" s="384"/>
      <c r="S66" s="384"/>
      <c r="T66" s="384"/>
      <c r="U66" s="384"/>
      <c r="V66" s="384"/>
      <c r="W66" s="384"/>
      <c r="X66" s="384"/>
      <c r="Y66" s="384"/>
      <c r="Z66" s="384"/>
      <c r="AA66" s="384"/>
      <c r="AB66" s="384"/>
      <c r="AC66" s="384"/>
      <c r="AD66" s="384"/>
      <c r="AE66" s="384"/>
      <c r="AF66" s="384"/>
      <c r="AG66" s="384"/>
      <c r="AH66" s="384"/>
    </row>
    <row r="67" spans="1:34" x14ac:dyDescent="0.2">
      <c r="A67" s="384"/>
      <c r="B67" s="384"/>
      <c r="C67" s="384"/>
      <c r="D67" s="384"/>
      <c r="E67" s="384"/>
      <c r="F67" s="384"/>
      <c r="G67" s="384"/>
      <c r="H67" s="384"/>
      <c r="I67" s="384"/>
      <c r="J67" s="384"/>
      <c r="K67" s="384"/>
      <c r="L67" s="384"/>
      <c r="M67" s="384"/>
      <c r="N67" s="384"/>
      <c r="O67" s="384"/>
      <c r="P67" s="384"/>
      <c r="Q67" s="384"/>
      <c r="R67" s="384"/>
      <c r="S67" s="384"/>
      <c r="T67" s="384"/>
      <c r="U67" s="384"/>
      <c r="V67" s="384"/>
      <c r="W67" s="384"/>
      <c r="X67" s="384"/>
      <c r="Y67" s="384"/>
      <c r="Z67" s="384"/>
      <c r="AA67" s="384"/>
      <c r="AB67" s="384"/>
      <c r="AC67" s="384"/>
      <c r="AD67" s="384"/>
      <c r="AE67" s="384"/>
      <c r="AF67" s="384"/>
      <c r="AG67" s="384"/>
      <c r="AH67" s="384"/>
    </row>
    <row r="68" spans="1:34" x14ac:dyDescent="0.2">
      <c r="A68" s="384"/>
      <c r="B68" s="384"/>
      <c r="C68" s="384"/>
      <c r="D68" s="384"/>
      <c r="E68" s="384"/>
      <c r="F68" s="384"/>
      <c r="G68" s="384"/>
      <c r="H68" s="384"/>
      <c r="I68" s="384"/>
      <c r="J68" s="384"/>
      <c r="K68" s="384"/>
      <c r="L68" s="384"/>
      <c r="M68" s="384"/>
      <c r="N68" s="384"/>
      <c r="O68" s="384"/>
      <c r="P68" s="384"/>
      <c r="Q68" s="384"/>
      <c r="R68" s="384"/>
      <c r="S68" s="384"/>
      <c r="T68" s="384"/>
      <c r="U68" s="384"/>
      <c r="V68" s="384"/>
      <c r="W68" s="384"/>
      <c r="X68" s="384"/>
      <c r="Y68" s="384"/>
      <c r="Z68" s="384"/>
      <c r="AA68" s="384"/>
      <c r="AB68" s="384"/>
      <c r="AC68" s="384"/>
      <c r="AD68" s="384"/>
      <c r="AE68" s="384"/>
      <c r="AF68" s="384"/>
      <c r="AG68" s="384"/>
      <c r="AH68" s="384"/>
    </row>
    <row r="69" spans="1:34" x14ac:dyDescent="0.2">
      <c r="A69" s="384"/>
      <c r="B69" s="384"/>
      <c r="C69" s="384"/>
      <c r="D69" s="384"/>
      <c r="E69" s="384"/>
      <c r="F69" s="384"/>
      <c r="G69" s="384"/>
      <c r="H69" s="384"/>
      <c r="I69" s="384"/>
      <c r="J69" s="384"/>
      <c r="K69" s="384"/>
      <c r="L69" s="384"/>
      <c r="M69" s="384"/>
      <c r="N69" s="384"/>
      <c r="O69" s="384"/>
      <c r="P69" s="384"/>
      <c r="Q69" s="384"/>
      <c r="R69" s="384"/>
      <c r="S69" s="384"/>
      <c r="T69" s="384"/>
      <c r="U69" s="384"/>
      <c r="V69" s="384"/>
      <c r="W69" s="384"/>
      <c r="X69" s="384"/>
      <c r="Y69" s="384"/>
      <c r="Z69" s="384"/>
      <c r="AA69" s="384"/>
      <c r="AB69" s="384"/>
      <c r="AC69" s="384"/>
      <c r="AD69" s="384"/>
      <c r="AE69" s="384"/>
      <c r="AF69" s="384"/>
      <c r="AG69" s="384"/>
      <c r="AH69" s="384"/>
    </row>
    <row r="70" spans="1:34" x14ac:dyDescent="0.2">
      <c r="A70" s="384"/>
      <c r="B70" s="384"/>
      <c r="C70" s="384"/>
      <c r="D70" s="384"/>
      <c r="E70" s="384"/>
      <c r="F70" s="384"/>
      <c r="G70" s="384"/>
      <c r="H70" s="384"/>
      <c r="I70" s="384"/>
      <c r="J70" s="384"/>
      <c r="K70" s="384"/>
      <c r="L70" s="384"/>
      <c r="M70" s="384"/>
      <c r="N70" s="384"/>
      <c r="O70" s="384"/>
      <c r="P70" s="384"/>
      <c r="Q70" s="384"/>
      <c r="R70" s="384"/>
      <c r="S70" s="384"/>
      <c r="T70" s="384"/>
      <c r="U70" s="384"/>
      <c r="V70" s="384"/>
      <c r="W70" s="384"/>
      <c r="X70" s="384"/>
      <c r="Y70" s="384"/>
      <c r="Z70" s="384"/>
      <c r="AA70" s="384"/>
      <c r="AB70" s="384"/>
      <c r="AC70" s="384"/>
      <c r="AD70" s="384"/>
      <c r="AE70" s="384"/>
      <c r="AF70" s="384"/>
      <c r="AG70" s="384"/>
      <c r="AH70" s="384"/>
    </row>
    <row r="71" spans="1:34" x14ac:dyDescent="0.2">
      <c r="A71" s="384"/>
      <c r="B71" s="384"/>
      <c r="C71" s="384"/>
      <c r="D71" s="384"/>
      <c r="E71" s="384"/>
      <c r="F71" s="384"/>
      <c r="G71" s="384"/>
      <c r="H71" s="384"/>
      <c r="I71" s="384"/>
      <c r="J71" s="384"/>
      <c r="K71" s="384"/>
      <c r="L71" s="384"/>
      <c r="M71" s="384"/>
      <c r="N71" s="384"/>
      <c r="O71" s="384"/>
      <c r="P71" s="384"/>
      <c r="Q71" s="384"/>
      <c r="R71" s="384"/>
      <c r="S71" s="384"/>
      <c r="T71" s="384"/>
      <c r="U71" s="384"/>
      <c r="V71" s="384"/>
      <c r="W71" s="384"/>
      <c r="X71" s="384"/>
      <c r="Y71" s="384"/>
      <c r="Z71" s="384"/>
      <c r="AA71" s="384"/>
      <c r="AB71" s="384"/>
      <c r="AC71" s="384"/>
      <c r="AD71" s="384"/>
      <c r="AE71" s="384"/>
      <c r="AF71" s="384"/>
      <c r="AG71" s="384"/>
      <c r="AH71" s="384"/>
    </row>
    <row r="72" spans="1:34" x14ac:dyDescent="0.2">
      <c r="A72" s="384"/>
      <c r="B72" s="384"/>
      <c r="C72" s="384"/>
      <c r="D72" s="384"/>
      <c r="E72" s="384"/>
      <c r="F72" s="384"/>
      <c r="G72" s="384"/>
      <c r="H72" s="384"/>
      <c r="I72" s="384"/>
      <c r="J72" s="384"/>
      <c r="K72" s="384"/>
      <c r="L72" s="384"/>
      <c r="M72" s="384"/>
      <c r="N72" s="384"/>
      <c r="O72" s="384"/>
      <c r="P72" s="384"/>
      <c r="Q72" s="384"/>
      <c r="R72" s="384"/>
      <c r="S72" s="384"/>
      <c r="T72" s="384"/>
      <c r="U72" s="384"/>
      <c r="V72" s="384"/>
      <c r="W72" s="384"/>
      <c r="X72" s="384"/>
      <c r="Y72" s="384"/>
      <c r="Z72" s="384"/>
      <c r="AA72" s="384"/>
      <c r="AB72" s="384"/>
      <c r="AC72" s="384"/>
      <c r="AD72" s="384"/>
      <c r="AE72" s="384"/>
      <c r="AF72" s="384"/>
      <c r="AG72" s="384"/>
      <c r="AH72" s="384"/>
    </row>
    <row r="73" spans="1:34" x14ac:dyDescent="0.2">
      <c r="A73" s="384"/>
      <c r="B73" s="384"/>
      <c r="C73" s="384"/>
      <c r="D73" s="384"/>
      <c r="E73" s="384"/>
      <c r="F73" s="384"/>
      <c r="G73" s="384"/>
      <c r="H73" s="384"/>
      <c r="I73" s="384"/>
      <c r="J73" s="384"/>
      <c r="K73" s="384"/>
      <c r="L73" s="384"/>
      <c r="M73" s="384"/>
      <c r="N73" s="384"/>
      <c r="O73" s="384"/>
      <c r="P73" s="384"/>
      <c r="Q73" s="384"/>
      <c r="R73" s="384"/>
      <c r="S73" s="384"/>
      <c r="T73" s="384"/>
      <c r="U73" s="384"/>
      <c r="V73" s="384"/>
      <c r="W73" s="384"/>
      <c r="X73" s="384"/>
      <c r="Y73" s="384"/>
      <c r="Z73" s="384"/>
      <c r="AA73" s="384"/>
      <c r="AB73" s="384"/>
      <c r="AC73" s="384"/>
      <c r="AD73" s="384"/>
      <c r="AE73" s="384"/>
      <c r="AF73" s="384"/>
      <c r="AG73" s="384"/>
      <c r="AH73" s="384"/>
    </row>
    <row r="74" spans="1:34" x14ac:dyDescent="0.2">
      <c r="A74" s="384"/>
      <c r="B74" s="384"/>
      <c r="C74" s="384"/>
      <c r="D74" s="384"/>
      <c r="E74" s="384"/>
      <c r="F74" s="384"/>
      <c r="G74" s="384"/>
      <c r="H74" s="384"/>
      <c r="I74" s="384"/>
      <c r="J74" s="384"/>
      <c r="K74" s="384"/>
      <c r="L74" s="384"/>
      <c r="M74" s="384"/>
      <c r="N74" s="384"/>
      <c r="O74" s="384"/>
      <c r="P74" s="384"/>
      <c r="Q74" s="384"/>
      <c r="R74" s="384"/>
      <c r="S74" s="384"/>
      <c r="T74" s="384"/>
      <c r="U74" s="384"/>
      <c r="V74" s="384"/>
      <c r="W74" s="384"/>
      <c r="X74" s="384"/>
      <c r="Y74" s="384"/>
      <c r="Z74" s="384"/>
      <c r="AA74" s="384"/>
      <c r="AB74" s="384"/>
      <c r="AC74" s="384"/>
      <c r="AD74" s="384"/>
      <c r="AE74" s="384"/>
      <c r="AF74" s="384"/>
      <c r="AG74" s="384"/>
      <c r="AH74" s="384"/>
    </row>
    <row r="75" spans="1:34" x14ac:dyDescent="0.2">
      <c r="A75" s="384"/>
      <c r="B75" s="384"/>
      <c r="C75" s="384"/>
      <c r="D75" s="384"/>
      <c r="E75" s="384"/>
      <c r="F75" s="384"/>
      <c r="G75" s="384"/>
      <c r="H75" s="384"/>
      <c r="I75" s="384"/>
      <c r="J75" s="384"/>
      <c r="K75" s="384"/>
      <c r="L75" s="384"/>
      <c r="M75" s="384"/>
      <c r="N75" s="384"/>
      <c r="O75" s="384"/>
      <c r="P75" s="384"/>
      <c r="Q75" s="384"/>
      <c r="R75" s="384"/>
      <c r="S75" s="384"/>
      <c r="T75" s="384"/>
      <c r="U75" s="384"/>
      <c r="V75" s="384"/>
      <c r="W75" s="384"/>
      <c r="X75" s="384"/>
      <c r="Y75" s="384"/>
      <c r="Z75" s="384"/>
      <c r="AA75" s="384"/>
      <c r="AB75" s="384"/>
      <c r="AC75" s="384"/>
      <c r="AD75" s="384"/>
      <c r="AE75" s="384"/>
      <c r="AF75" s="384"/>
      <c r="AG75" s="384"/>
      <c r="AH75" s="384"/>
    </row>
    <row r="76" spans="1:34" x14ac:dyDescent="0.2">
      <c r="A76" s="384"/>
      <c r="B76" s="384"/>
      <c r="C76" s="384"/>
      <c r="D76" s="384"/>
      <c r="E76" s="384"/>
      <c r="F76" s="384"/>
      <c r="G76" s="384"/>
      <c r="H76" s="384"/>
      <c r="I76" s="384"/>
      <c r="J76" s="384"/>
      <c r="K76" s="384"/>
      <c r="L76" s="384"/>
      <c r="M76" s="384"/>
      <c r="N76" s="384"/>
      <c r="O76" s="384"/>
      <c r="P76" s="384"/>
      <c r="Q76" s="384"/>
      <c r="R76" s="384"/>
      <c r="S76" s="384"/>
      <c r="T76" s="384"/>
      <c r="U76" s="384"/>
      <c r="V76" s="384"/>
      <c r="W76" s="384"/>
      <c r="X76" s="384"/>
      <c r="Y76" s="384"/>
      <c r="Z76" s="384"/>
      <c r="AA76" s="384"/>
      <c r="AB76" s="384"/>
      <c r="AC76" s="384"/>
      <c r="AD76" s="384"/>
      <c r="AE76" s="384"/>
      <c r="AF76" s="384"/>
      <c r="AG76" s="384"/>
      <c r="AH76" s="384"/>
    </row>
    <row r="77" spans="1:34" x14ac:dyDescent="0.2">
      <c r="A77" s="384"/>
      <c r="B77" s="384"/>
      <c r="C77" s="384"/>
      <c r="D77" s="384"/>
      <c r="E77" s="384"/>
      <c r="F77" s="384"/>
      <c r="G77" s="384"/>
      <c r="H77" s="384"/>
      <c r="I77" s="384"/>
      <c r="J77" s="384"/>
      <c r="K77" s="384"/>
      <c r="L77" s="384"/>
      <c r="M77" s="384"/>
      <c r="N77" s="384"/>
      <c r="O77" s="384"/>
      <c r="P77" s="384"/>
      <c r="Q77" s="384"/>
      <c r="R77" s="384"/>
      <c r="S77" s="384"/>
      <c r="T77" s="384"/>
      <c r="U77" s="384"/>
      <c r="V77" s="384"/>
      <c r="W77" s="384"/>
      <c r="X77" s="384"/>
      <c r="Y77" s="384"/>
      <c r="Z77" s="384"/>
      <c r="AA77" s="384"/>
      <c r="AB77" s="384"/>
      <c r="AC77" s="384"/>
      <c r="AD77" s="384"/>
      <c r="AE77" s="384"/>
      <c r="AF77" s="384"/>
      <c r="AG77" s="384"/>
      <c r="AH77" s="384"/>
    </row>
    <row r="78" spans="1:34" x14ac:dyDescent="0.2">
      <c r="A78" s="384"/>
      <c r="B78" s="384"/>
      <c r="C78" s="384"/>
      <c r="D78" s="384"/>
      <c r="E78" s="384"/>
      <c r="F78" s="384"/>
      <c r="G78" s="384"/>
      <c r="H78" s="384"/>
      <c r="I78" s="384"/>
      <c r="J78" s="384"/>
      <c r="K78" s="384"/>
      <c r="L78" s="384"/>
      <c r="M78" s="384"/>
      <c r="N78" s="384"/>
      <c r="O78" s="384"/>
      <c r="P78" s="384"/>
      <c r="Q78" s="384"/>
      <c r="R78" s="384"/>
      <c r="S78" s="384"/>
      <c r="T78" s="384"/>
      <c r="U78" s="384"/>
      <c r="V78" s="384"/>
      <c r="W78" s="384"/>
      <c r="X78" s="384"/>
      <c r="Y78" s="384"/>
      <c r="Z78" s="384"/>
      <c r="AA78" s="384"/>
      <c r="AB78" s="384"/>
      <c r="AC78" s="384"/>
      <c r="AD78" s="384"/>
      <c r="AE78" s="384"/>
      <c r="AF78" s="384"/>
      <c r="AG78" s="384"/>
      <c r="AH78" s="384"/>
    </row>
    <row r="79" spans="1:34" x14ac:dyDescent="0.2">
      <c r="A79" s="384"/>
      <c r="B79" s="384"/>
      <c r="C79" s="384"/>
      <c r="D79" s="384"/>
      <c r="E79" s="384"/>
      <c r="F79" s="384"/>
      <c r="G79" s="384"/>
      <c r="H79" s="384"/>
      <c r="I79" s="384"/>
      <c r="J79" s="384"/>
      <c r="K79" s="384"/>
      <c r="L79" s="384"/>
      <c r="M79" s="384"/>
      <c r="N79" s="384"/>
      <c r="O79" s="384"/>
      <c r="P79" s="384"/>
      <c r="Q79" s="384"/>
      <c r="R79" s="384"/>
      <c r="S79" s="384"/>
      <c r="T79" s="384"/>
      <c r="U79" s="384"/>
      <c r="V79" s="384"/>
      <c r="W79" s="384"/>
      <c r="X79" s="384"/>
      <c r="Y79" s="384"/>
      <c r="Z79" s="384"/>
      <c r="AA79" s="384"/>
      <c r="AB79" s="384"/>
      <c r="AC79" s="384"/>
      <c r="AD79" s="384"/>
      <c r="AE79" s="384"/>
      <c r="AF79" s="384"/>
      <c r="AG79" s="384"/>
      <c r="AH79" s="384"/>
    </row>
    <row r="80" spans="1:34" x14ac:dyDescent="0.2">
      <c r="A80" s="384"/>
      <c r="B80" s="384"/>
      <c r="C80" s="384"/>
      <c r="D80" s="384"/>
      <c r="E80" s="384"/>
      <c r="F80" s="384"/>
      <c r="G80" s="384"/>
      <c r="H80" s="384"/>
      <c r="I80" s="384"/>
      <c r="J80" s="384"/>
      <c r="K80" s="384"/>
      <c r="L80" s="384"/>
      <c r="M80" s="384"/>
      <c r="N80" s="384"/>
      <c r="O80" s="384"/>
      <c r="P80" s="384"/>
      <c r="Q80" s="384"/>
      <c r="R80" s="384"/>
      <c r="S80" s="384"/>
      <c r="T80" s="384"/>
      <c r="U80" s="384"/>
      <c r="V80" s="384"/>
      <c r="W80" s="384"/>
      <c r="X80" s="384"/>
      <c r="Y80" s="384"/>
      <c r="Z80" s="384"/>
      <c r="AA80" s="384"/>
      <c r="AB80" s="384"/>
      <c r="AC80" s="384"/>
      <c r="AD80" s="384"/>
      <c r="AE80" s="384"/>
      <c r="AF80" s="384"/>
      <c r="AG80" s="384"/>
      <c r="AH80" s="384"/>
    </row>
    <row r="81" spans="1:34" x14ac:dyDescent="0.2">
      <c r="A81" s="384"/>
      <c r="B81" s="384"/>
      <c r="C81" s="384"/>
      <c r="D81" s="384"/>
      <c r="E81" s="384"/>
      <c r="F81" s="384"/>
      <c r="G81" s="384"/>
      <c r="H81" s="384"/>
      <c r="I81" s="384"/>
      <c r="J81" s="384"/>
      <c r="K81" s="384"/>
      <c r="L81" s="384"/>
      <c r="M81" s="384"/>
      <c r="N81" s="384"/>
      <c r="O81" s="384"/>
      <c r="P81" s="384"/>
      <c r="Q81" s="384"/>
      <c r="R81" s="384"/>
      <c r="S81" s="384"/>
      <c r="T81" s="384"/>
      <c r="U81" s="384"/>
      <c r="V81" s="384"/>
      <c r="W81" s="384"/>
      <c r="X81" s="384"/>
      <c r="Y81" s="384"/>
      <c r="Z81" s="384"/>
      <c r="AA81" s="384"/>
      <c r="AB81" s="384"/>
      <c r="AC81" s="384"/>
      <c r="AD81" s="384"/>
      <c r="AE81" s="384"/>
      <c r="AF81" s="384"/>
      <c r="AG81" s="384"/>
      <c r="AH81" s="384"/>
    </row>
    <row r="82" spans="1:34" x14ac:dyDescent="0.2">
      <c r="A82" s="384"/>
      <c r="B82" s="384"/>
      <c r="C82" s="384"/>
      <c r="D82" s="384"/>
      <c r="E82" s="384"/>
      <c r="F82" s="384"/>
      <c r="G82" s="384"/>
      <c r="H82" s="384"/>
      <c r="I82" s="384"/>
      <c r="J82" s="384"/>
      <c r="K82" s="384"/>
      <c r="L82" s="384"/>
      <c r="M82" s="384"/>
      <c r="N82" s="384"/>
      <c r="O82" s="384"/>
      <c r="P82" s="384"/>
      <c r="Q82" s="384"/>
      <c r="R82" s="384"/>
      <c r="S82" s="384"/>
      <c r="T82" s="384"/>
      <c r="U82" s="384"/>
      <c r="V82" s="384"/>
      <c r="W82" s="384"/>
      <c r="X82" s="384"/>
      <c r="Y82" s="384"/>
      <c r="Z82" s="384"/>
      <c r="AA82" s="384"/>
      <c r="AB82" s="384"/>
      <c r="AC82" s="384"/>
      <c r="AD82" s="384"/>
      <c r="AE82" s="384"/>
      <c r="AF82" s="384"/>
      <c r="AG82" s="384"/>
      <c r="AH82" s="384"/>
    </row>
    <row r="83" spans="1:34" x14ac:dyDescent="0.2">
      <c r="A83" s="384"/>
      <c r="B83" s="384"/>
      <c r="C83" s="384"/>
      <c r="D83" s="384"/>
      <c r="E83" s="384"/>
      <c r="F83" s="384"/>
      <c r="G83" s="384"/>
      <c r="H83" s="384"/>
      <c r="I83" s="384"/>
      <c r="J83" s="384"/>
      <c r="K83" s="384"/>
      <c r="L83" s="384"/>
      <c r="M83" s="384"/>
      <c r="N83" s="384"/>
      <c r="O83" s="384"/>
      <c r="P83" s="384"/>
      <c r="Q83" s="384"/>
      <c r="R83" s="384"/>
      <c r="S83" s="384"/>
      <c r="T83" s="384"/>
      <c r="U83" s="384"/>
      <c r="V83" s="384"/>
      <c r="W83" s="384"/>
      <c r="X83" s="384"/>
      <c r="Y83" s="384"/>
      <c r="Z83" s="384"/>
      <c r="AA83" s="384"/>
      <c r="AB83" s="384"/>
      <c r="AC83" s="384"/>
      <c r="AD83" s="384"/>
      <c r="AE83" s="384"/>
      <c r="AF83" s="384"/>
      <c r="AG83" s="384"/>
      <c r="AH83" s="384"/>
    </row>
    <row r="84" spans="1:34" x14ac:dyDescent="0.2">
      <c r="A84" s="384"/>
      <c r="B84" s="384"/>
      <c r="C84" s="384"/>
      <c r="D84" s="384"/>
      <c r="E84" s="384"/>
      <c r="F84" s="384"/>
      <c r="G84" s="384"/>
      <c r="H84" s="384"/>
      <c r="I84" s="384"/>
      <c r="J84" s="384"/>
      <c r="K84" s="384"/>
      <c r="L84" s="384"/>
      <c r="M84" s="384"/>
      <c r="N84" s="384"/>
      <c r="O84" s="384"/>
      <c r="P84" s="384"/>
      <c r="Q84" s="384"/>
      <c r="R84" s="384"/>
      <c r="S84" s="384"/>
      <c r="T84" s="384"/>
      <c r="U84" s="384"/>
      <c r="V84" s="384"/>
      <c r="W84" s="384"/>
      <c r="X84" s="384"/>
      <c r="Y84" s="384"/>
      <c r="Z84" s="384"/>
      <c r="AA84" s="384"/>
      <c r="AB84" s="384"/>
      <c r="AC84" s="384"/>
      <c r="AD84" s="384"/>
      <c r="AE84" s="384"/>
      <c r="AF84" s="384"/>
      <c r="AG84" s="384"/>
      <c r="AH84" s="384"/>
    </row>
    <row r="85" spans="1:34" x14ac:dyDescent="0.2">
      <c r="A85" s="384"/>
      <c r="B85" s="384"/>
      <c r="C85" s="384"/>
      <c r="D85" s="384"/>
      <c r="E85" s="384"/>
      <c r="F85" s="384"/>
      <c r="G85" s="384"/>
      <c r="H85" s="384"/>
      <c r="I85" s="384"/>
      <c r="J85" s="384"/>
      <c r="K85" s="384"/>
      <c r="L85" s="384"/>
      <c r="M85" s="384"/>
      <c r="N85" s="384"/>
      <c r="O85" s="384"/>
      <c r="P85" s="384"/>
      <c r="Q85" s="384"/>
      <c r="R85" s="384"/>
      <c r="S85" s="384"/>
      <c r="T85" s="384"/>
      <c r="U85" s="384"/>
      <c r="V85" s="384"/>
      <c r="W85" s="384"/>
      <c r="X85" s="384"/>
      <c r="Y85" s="384"/>
      <c r="Z85" s="384"/>
      <c r="AA85" s="384"/>
      <c r="AB85" s="384"/>
      <c r="AC85" s="384"/>
      <c r="AD85" s="384"/>
      <c r="AE85" s="384"/>
      <c r="AF85" s="384"/>
      <c r="AG85" s="384"/>
      <c r="AH85" s="384"/>
    </row>
    <row r="86" spans="1:34" x14ac:dyDescent="0.2">
      <c r="A86" s="384"/>
      <c r="B86" s="384"/>
      <c r="C86" s="384"/>
      <c r="D86" s="384"/>
      <c r="E86" s="384"/>
      <c r="F86" s="384"/>
      <c r="G86" s="384"/>
      <c r="H86" s="384"/>
      <c r="I86" s="384"/>
      <c r="J86" s="384"/>
      <c r="K86" s="384"/>
      <c r="L86" s="384"/>
      <c r="M86" s="384"/>
      <c r="N86" s="384"/>
      <c r="O86" s="384"/>
      <c r="P86" s="384"/>
      <c r="Q86" s="384"/>
      <c r="R86" s="384"/>
      <c r="S86" s="384"/>
      <c r="T86" s="384"/>
      <c r="U86" s="384"/>
      <c r="V86" s="384"/>
      <c r="W86" s="384"/>
      <c r="X86" s="384"/>
      <c r="Y86" s="384"/>
      <c r="Z86" s="384"/>
      <c r="AA86" s="384"/>
      <c r="AB86" s="384"/>
      <c r="AC86" s="384"/>
      <c r="AD86" s="384"/>
      <c r="AE86" s="384"/>
      <c r="AF86" s="384"/>
      <c r="AG86" s="384"/>
      <c r="AH86" s="384"/>
    </row>
    <row r="87" spans="1:34" x14ac:dyDescent="0.2">
      <c r="A87" s="384"/>
      <c r="B87" s="384"/>
      <c r="C87" s="384"/>
      <c r="D87" s="384"/>
      <c r="E87" s="384"/>
      <c r="F87" s="384"/>
      <c r="G87" s="384"/>
      <c r="H87" s="384"/>
      <c r="I87" s="384"/>
      <c r="J87" s="384"/>
      <c r="K87" s="384"/>
      <c r="L87" s="384"/>
      <c r="M87" s="384"/>
      <c r="N87" s="384"/>
      <c r="O87" s="384"/>
      <c r="P87" s="384"/>
      <c r="Q87" s="384"/>
      <c r="R87" s="384"/>
      <c r="S87" s="384"/>
      <c r="T87" s="384"/>
      <c r="U87" s="384"/>
      <c r="V87" s="384"/>
      <c r="W87" s="384"/>
      <c r="X87" s="384"/>
      <c r="Y87" s="384"/>
      <c r="Z87" s="384"/>
      <c r="AA87" s="384"/>
      <c r="AB87" s="384"/>
      <c r="AC87" s="384"/>
      <c r="AD87" s="384"/>
      <c r="AE87" s="384"/>
      <c r="AF87" s="384"/>
      <c r="AG87" s="384"/>
      <c r="AH87" s="384"/>
    </row>
    <row r="88" spans="1:34" x14ac:dyDescent="0.2">
      <c r="A88" s="384"/>
      <c r="B88" s="384"/>
      <c r="C88" s="384"/>
      <c r="D88" s="384"/>
      <c r="E88" s="384"/>
      <c r="F88" s="384"/>
      <c r="G88" s="384"/>
      <c r="H88" s="384"/>
      <c r="I88" s="384"/>
      <c r="J88" s="384"/>
      <c r="K88" s="384"/>
      <c r="L88" s="384"/>
      <c r="M88" s="384"/>
      <c r="N88" s="384"/>
      <c r="O88" s="384"/>
      <c r="P88" s="384"/>
      <c r="Q88" s="384"/>
      <c r="R88" s="384"/>
      <c r="S88" s="384"/>
      <c r="T88" s="384"/>
      <c r="U88" s="384"/>
      <c r="V88" s="384"/>
      <c r="W88" s="384"/>
      <c r="X88" s="384"/>
      <c r="Y88" s="384"/>
      <c r="Z88" s="384"/>
      <c r="AA88" s="384"/>
      <c r="AB88" s="384"/>
      <c r="AC88" s="384"/>
      <c r="AD88" s="384"/>
      <c r="AE88" s="384"/>
      <c r="AF88" s="384"/>
      <c r="AG88" s="384"/>
      <c r="AH88" s="384"/>
    </row>
    <row r="89" spans="1:34" x14ac:dyDescent="0.2">
      <c r="A89" s="384"/>
      <c r="B89" s="384"/>
      <c r="C89" s="384"/>
      <c r="D89" s="384"/>
      <c r="E89" s="384"/>
      <c r="F89" s="384"/>
      <c r="G89" s="384"/>
      <c r="H89" s="384"/>
      <c r="I89" s="384"/>
      <c r="J89" s="384"/>
      <c r="K89" s="384"/>
      <c r="L89" s="384"/>
      <c r="M89" s="384"/>
      <c r="N89" s="384"/>
      <c r="O89" s="384"/>
      <c r="P89" s="384"/>
      <c r="Q89" s="384"/>
      <c r="R89" s="384"/>
      <c r="S89" s="384"/>
      <c r="T89" s="384"/>
      <c r="U89" s="384"/>
      <c r="V89" s="384"/>
      <c r="W89" s="384"/>
      <c r="X89" s="384"/>
      <c r="Y89" s="384"/>
      <c r="Z89" s="384"/>
      <c r="AA89" s="384"/>
      <c r="AB89" s="384"/>
      <c r="AC89" s="384"/>
      <c r="AD89" s="384"/>
      <c r="AE89" s="384"/>
      <c r="AF89" s="384"/>
      <c r="AG89" s="384"/>
      <c r="AH89" s="384"/>
    </row>
    <row r="90" spans="1:34" x14ac:dyDescent="0.2">
      <c r="A90" s="384"/>
      <c r="B90" s="384"/>
      <c r="C90" s="384"/>
      <c r="D90" s="384"/>
      <c r="E90" s="384"/>
      <c r="F90" s="384"/>
      <c r="G90" s="384"/>
      <c r="H90" s="384"/>
      <c r="I90" s="384"/>
      <c r="J90" s="384"/>
      <c r="K90" s="384"/>
      <c r="L90" s="384"/>
      <c r="M90" s="384"/>
      <c r="N90" s="384"/>
      <c r="O90" s="384"/>
      <c r="P90" s="384"/>
      <c r="Q90" s="384"/>
      <c r="R90" s="384"/>
      <c r="S90" s="384"/>
      <c r="T90" s="384"/>
      <c r="U90" s="384"/>
      <c r="V90" s="384"/>
      <c r="W90" s="384"/>
      <c r="X90" s="384"/>
      <c r="Y90" s="384"/>
      <c r="Z90" s="384"/>
      <c r="AA90" s="384"/>
      <c r="AB90" s="384"/>
      <c r="AC90" s="384"/>
      <c r="AD90" s="384"/>
      <c r="AE90" s="384"/>
      <c r="AF90" s="384"/>
      <c r="AG90" s="384"/>
      <c r="AH90" s="384"/>
    </row>
    <row r="91" spans="1:34" x14ac:dyDescent="0.2">
      <c r="A91" s="384"/>
      <c r="B91" s="384"/>
      <c r="C91" s="384"/>
      <c r="D91" s="384"/>
      <c r="E91" s="384"/>
      <c r="F91" s="384"/>
      <c r="G91" s="384"/>
      <c r="H91" s="384"/>
      <c r="I91" s="384"/>
      <c r="J91" s="384"/>
      <c r="K91" s="384"/>
      <c r="L91" s="384"/>
      <c r="M91" s="384"/>
      <c r="N91" s="384"/>
      <c r="O91" s="384"/>
      <c r="P91" s="384"/>
      <c r="Q91" s="384"/>
      <c r="R91" s="384"/>
      <c r="S91" s="384"/>
      <c r="T91" s="384"/>
      <c r="U91" s="384"/>
      <c r="V91" s="384"/>
      <c r="W91" s="384"/>
      <c r="X91" s="384"/>
      <c r="Y91" s="384"/>
      <c r="Z91" s="384"/>
      <c r="AA91" s="384"/>
      <c r="AB91" s="384"/>
      <c r="AC91" s="384"/>
      <c r="AD91" s="384"/>
      <c r="AE91" s="384"/>
      <c r="AF91" s="384"/>
      <c r="AG91" s="384"/>
      <c r="AH91" s="384"/>
    </row>
    <row r="92" spans="1:34" x14ac:dyDescent="0.2">
      <c r="A92" s="384"/>
      <c r="B92" s="384"/>
      <c r="C92" s="384"/>
      <c r="D92" s="384"/>
      <c r="E92" s="384"/>
      <c r="F92" s="384"/>
      <c r="G92" s="384"/>
      <c r="H92" s="384"/>
      <c r="I92" s="384"/>
      <c r="J92" s="384"/>
      <c r="K92" s="384"/>
      <c r="L92" s="384"/>
      <c r="M92" s="384"/>
      <c r="N92" s="384"/>
      <c r="O92" s="384"/>
      <c r="P92" s="384"/>
      <c r="Q92" s="384"/>
      <c r="R92" s="384"/>
      <c r="S92" s="384"/>
      <c r="T92" s="384"/>
      <c r="U92" s="384"/>
      <c r="V92" s="384"/>
      <c r="W92" s="384"/>
      <c r="X92" s="384"/>
      <c r="Y92" s="384"/>
      <c r="Z92" s="384"/>
      <c r="AA92" s="384"/>
      <c r="AB92" s="384"/>
      <c r="AC92" s="384"/>
      <c r="AD92" s="384"/>
      <c r="AE92" s="384"/>
      <c r="AF92" s="384"/>
      <c r="AG92" s="384"/>
      <c r="AH92" s="384"/>
    </row>
    <row r="93" spans="1:34" x14ac:dyDescent="0.2">
      <c r="A93" s="384"/>
      <c r="B93" s="384"/>
      <c r="C93" s="384"/>
      <c r="D93" s="384"/>
      <c r="E93" s="384"/>
      <c r="F93" s="384"/>
      <c r="G93" s="384"/>
      <c r="H93" s="384"/>
      <c r="I93" s="384"/>
      <c r="J93" s="384"/>
      <c r="K93" s="384"/>
      <c r="L93" s="384"/>
      <c r="M93" s="384"/>
      <c r="N93" s="384"/>
      <c r="O93" s="384"/>
      <c r="P93" s="384"/>
      <c r="Q93" s="384"/>
      <c r="R93" s="384"/>
      <c r="S93" s="384"/>
      <c r="T93" s="384"/>
      <c r="U93" s="384"/>
      <c r="V93" s="384"/>
      <c r="W93" s="384"/>
      <c r="X93" s="384"/>
      <c r="Y93" s="384"/>
      <c r="Z93" s="384"/>
      <c r="AA93" s="384"/>
      <c r="AB93" s="384"/>
      <c r="AC93" s="384"/>
      <c r="AD93" s="384"/>
      <c r="AE93" s="384"/>
      <c r="AF93" s="384"/>
      <c r="AG93" s="384"/>
      <c r="AH93" s="384"/>
    </row>
    <row r="94" spans="1:34" x14ac:dyDescent="0.2">
      <c r="A94" s="384"/>
      <c r="B94" s="384"/>
      <c r="C94" s="384"/>
      <c r="D94" s="384"/>
      <c r="E94" s="384"/>
      <c r="F94" s="384"/>
      <c r="G94" s="384"/>
      <c r="H94" s="384"/>
      <c r="I94" s="384"/>
      <c r="J94" s="384"/>
      <c r="K94" s="384"/>
      <c r="L94" s="384"/>
      <c r="M94" s="384"/>
      <c r="N94" s="384"/>
      <c r="O94" s="384"/>
      <c r="P94" s="384"/>
      <c r="Q94" s="384"/>
      <c r="R94" s="384"/>
      <c r="S94" s="384"/>
      <c r="T94" s="384"/>
      <c r="U94" s="384"/>
      <c r="V94" s="384"/>
      <c r="W94" s="384"/>
      <c r="X94" s="384"/>
      <c r="Y94" s="384"/>
      <c r="Z94" s="384"/>
      <c r="AA94" s="384"/>
      <c r="AB94" s="384"/>
      <c r="AC94" s="384"/>
      <c r="AD94" s="384"/>
      <c r="AE94" s="384"/>
      <c r="AF94" s="384"/>
      <c r="AG94" s="384"/>
      <c r="AH94" s="384"/>
    </row>
    <row r="95" spans="1:34" x14ac:dyDescent="0.2">
      <c r="A95" s="384"/>
      <c r="B95" s="384"/>
      <c r="C95" s="384"/>
      <c r="D95" s="384"/>
      <c r="E95" s="384"/>
      <c r="F95" s="384"/>
      <c r="G95" s="384"/>
      <c r="H95" s="384"/>
      <c r="I95" s="384"/>
      <c r="J95" s="384"/>
      <c r="K95" s="384"/>
      <c r="L95" s="384"/>
      <c r="M95" s="384"/>
      <c r="N95" s="384"/>
      <c r="O95" s="384"/>
      <c r="P95" s="384"/>
      <c r="Q95" s="384"/>
      <c r="R95" s="384"/>
      <c r="S95" s="384"/>
      <c r="T95" s="384"/>
      <c r="U95" s="384"/>
      <c r="V95" s="384"/>
      <c r="W95" s="384"/>
      <c r="X95" s="384"/>
      <c r="Y95" s="384"/>
      <c r="Z95" s="384"/>
      <c r="AA95" s="384"/>
      <c r="AB95" s="384"/>
      <c r="AC95" s="384"/>
      <c r="AD95" s="384"/>
      <c r="AE95" s="384"/>
      <c r="AF95" s="384"/>
      <c r="AG95" s="384"/>
      <c r="AH95" s="384"/>
    </row>
    <row r="96" spans="1:34" x14ac:dyDescent="0.2">
      <c r="A96" s="384"/>
      <c r="B96" s="384"/>
      <c r="C96" s="384"/>
      <c r="D96" s="384"/>
      <c r="E96" s="384"/>
      <c r="F96" s="384"/>
      <c r="G96" s="384"/>
      <c r="H96" s="384"/>
      <c r="I96" s="384"/>
      <c r="J96" s="384"/>
      <c r="K96" s="384"/>
      <c r="L96" s="384"/>
      <c r="M96" s="384"/>
      <c r="N96" s="384"/>
      <c r="O96" s="384"/>
      <c r="P96" s="384"/>
      <c r="Q96" s="384"/>
      <c r="R96" s="384"/>
      <c r="S96" s="384"/>
      <c r="T96" s="384"/>
      <c r="U96" s="384"/>
      <c r="V96" s="384"/>
      <c r="W96" s="384"/>
      <c r="X96" s="384"/>
      <c r="Y96" s="384"/>
      <c r="Z96" s="384"/>
      <c r="AA96" s="384"/>
      <c r="AB96" s="384"/>
      <c r="AC96" s="384"/>
      <c r="AD96" s="384"/>
      <c r="AE96" s="384"/>
      <c r="AF96" s="384"/>
      <c r="AG96" s="384"/>
      <c r="AH96" s="384"/>
    </row>
    <row r="97" spans="1:34" x14ac:dyDescent="0.2">
      <c r="A97" s="384"/>
      <c r="B97" s="384"/>
      <c r="C97" s="384"/>
      <c r="D97" s="384"/>
      <c r="E97" s="384"/>
      <c r="F97" s="384"/>
      <c r="G97" s="384"/>
      <c r="H97" s="384"/>
      <c r="I97" s="384"/>
      <c r="J97" s="384"/>
      <c r="K97" s="384"/>
      <c r="L97" s="384"/>
      <c r="M97" s="384"/>
      <c r="N97" s="384"/>
      <c r="O97" s="384"/>
      <c r="P97" s="384"/>
      <c r="Q97" s="384"/>
      <c r="R97" s="384"/>
      <c r="S97" s="384"/>
      <c r="T97" s="384"/>
      <c r="U97" s="384"/>
      <c r="V97" s="384"/>
      <c r="W97" s="384"/>
      <c r="X97" s="384"/>
      <c r="Y97" s="384"/>
      <c r="Z97" s="384"/>
      <c r="AA97" s="384"/>
      <c r="AB97" s="384"/>
      <c r="AC97" s="384"/>
      <c r="AD97" s="384"/>
      <c r="AE97" s="384"/>
      <c r="AF97" s="384"/>
      <c r="AG97" s="384"/>
      <c r="AH97" s="384"/>
    </row>
    <row r="98" spans="1:34" x14ac:dyDescent="0.2">
      <c r="A98" s="384"/>
      <c r="B98" s="384"/>
      <c r="C98" s="384"/>
      <c r="D98" s="384"/>
      <c r="E98" s="384"/>
      <c r="F98" s="384"/>
      <c r="G98" s="384"/>
      <c r="H98" s="384"/>
      <c r="I98" s="384"/>
      <c r="J98" s="384"/>
      <c r="K98" s="384"/>
      <c r="L98" s="384"/>
      <c r="M98" s="384"/>
      <c r="N98" s="384"/>
      <c r="O98" s="384"/>
      <c r="P98" s="384"/>
      <c r="Q98" s="384"/>
      <c r="R98" s="384"/>
      <c r="S98" s="384"/>
      <c r="T98" s="384"/>
      <c r="U98" s="384"/>
      <c r="V98" s="384"/>
      <c r="W98" s="384"/>
      <c r="X98" s="384"/>
      <c r="Y98" s="384"/>
      <c r="Z98" s="384"/>
      <c r="AA98" s="384"/>
      <c r="AB98" s="384"/>
      <c r="AC98" s="384"/>
      <c r="AD98" s="384"/>
      <c r="AE98" s="384"/>
      <c r="AF98" s="384"/>
      <c r="AG98" s="384"/>
      <c r="AH98" s="384"/>
    </row>
    <row r="99" spans="1:34" x14ac:dyDescent="0.2">
      <c r="A99" s="384"/>
      <c r="B99" s="384"/>
      <c r="C99" s="384"/>
      <c r="D99" s="384"/>
      <c r="E99" s="384"/>
      <c r="F99" s="384"/>
      <c r="G99" s="384"/>
      <c r="H99" s="384"/>
      <c r="I99" s="384"/>
      <c r="J99" s="384"/>
      <c r="K99" s="384"/>
      <c r="L99" s="384"/>
      <c r="M99" s="384"/>
      <c r="N99" s="384"/>
      <c r="O99" s="384"/>
      <c r="P99" s="384"/>
      <c r="Q99" s="384"/>
      <c r="R99" s="384"/>
      <c r="S99" s="384"/>
      <c r="T99" s="384"/>
      <c r="U99" s="384"/>
      <c r="V99" s="384"/>
      <c r="W99" s="384"/>
      <c r="X99" s="384"/>
      <c r="Y99" s="384"/>
      <c r="Z99" s="384"/>
      <c r="AA99" s="384"/>
      <c r="AB99" s="384"/>
      <c r="AC99" s="384"/>
      <c r="AD99" s="384"/>
      <c r="AE99" s="384"/>
      <c r="AF99" s="384"/>
      <c r="AG99" s="384"/>
      <c r="AH99" s="384"/>
    </row>
    <row r="100" spans="1:34" x14ac:dyDescent="0.2">
      <c r="A100" s="384"/>
      <c r="B100" s="384"/>
      <c r="C100" s="384"/>
      <c r="D100" s="384"/>
      <c r="E100" s="384"/>
      <c r="F100" s="384"/>
      <c r="G100" s="384"/>
      <c r="H100" s="384"/>
      <c r="I100" s="384"/>
      <c r="J100" s="384"/>
      <c r="K100" s="384"/>
      <c r="L100" s="384"/>
      <c r="M100" s="384"/>
      <c r="N100" s="384"/>
      <c r="O100" s="384"/>
      <c r="P100" s="384"/>
      <c r="Q100" s="384"/>
      <c r="R100" s="384"/>
      <c r="S100" s="384"/>
      <c r="T100" s="384"/>
      <c r="U100" s="384"/>
      <c r="V100" s="384"/>
      <c r="W100" s="384"/>
      <c r="X100" s="384"/>
      <c r="Y100" s="384"/>
      <c r="Z100" s="384"/>
      <c r="AA100" s="384"/>
      <c r="AB100" s="384"/>
      <c r="AC100" s="384"/>
      <c r="AD100" s="384"/>
      <c r="AE100" s="384"/>
      <c r="AF100" s="384"/>
      <c r="AG100" s="384"/>
      <c r="AH100" s="384"/>
    </row>
    <row r="101" spans="1:34" x14ac:dyDescent="0.2">
      <c r="A101" s="384"/>
      <c r="B101" s="384"/>
      <c r="C101" s="384"/>
      <c r="D101" s="384"/>
      <c r="E101" s="384"/>
      <c r="F101" s="384"/>
      <c r="G101" s="384"/>
      <c r="H101" s="384"/>
      <c r="I101" s="384"/>
      <c r="J101" s="384"/>
      <c r="K101" s="384"/>
      <c r="L101" s="384"/>
      <c r="M101" s="384"/>
      <c r="N101" s="384"/>
      <c r="O101" s="384"/>
      <c r="P101" s="384"/>
      <c r="Q101" s="384"/>
      <c r="R101" s="384"/>
      <c r="S101" s="384"/>
      <c r="T101" s="384"/>
      <c r="U101" s="384"/>
      <c r="V101" s="384"/>
      <c r="W101" s="384"/>
      <c r="X101" s="384"/>
      <c r="Y101" s="384"/>
      <c r="Z101" s="384"/>
      <c r="AA101" s="384"/>
      <c r="AB101" s="384"/>
      <c r="AC101" s="384"/>
      <c r="AD101" s="384"/>
      <c r="AE101" s="384"/>
      <c r="AF101" s="384"/>
      <c r="AG101" s="384"/>
      <c r="AH101" s="384"/>
    </row>
    <row r="102" spans="1:34" x14ac:dyDescent="0.2">
      <c r="A102" s="384"/>
      <c r="B102" s="384"/>
      <c r="C102" s="384"/>
      <c r="D102" s="384"/>
      <c r="E102" s="384"/>
      <c r="F102" s="384"/>
      <c r="G102" s="384"/>
      <c r="H102" s="384"/>
      <c r="I102" s="384"/>
      <c r="J102" s="384"/>
      <c r="K102" s="384"/>
      <c r="L102" s="384"/>
      <c r="M102" s="384"/>
      <c r="N102" s="384"/>
      <c r="O102" s="384"/>
      <c r="P102" s="384"/>
      <c r="Q102" s="384"/>
      <c r="R102" s="384"/>
      <c r="S102" s="384"/>
      <c r="T102" s="384"/>
      <c r="U102" s="384"/>
      <c r="V102" s="384"/>
      <c r="W102" s="384"/>
      <c r="X102" s="384"/>
      <c r="Y102" s="384"/>
      <c r="Z102" s="384"/>
      <c r="AA102" s="384"/>
      <c r="AB102" s="384"/>
      <c r="AC102" s="384"/>
      <c r="AD102" s="384"/>
      <c r="AE102" s="384"/>
      <c r="AF102" s="384"/>
      <c r="AG102" s="384"/>
      <c r="AH102" s="384"/>
    </row>
    <row r="103" spans="1:34" x14ac:dyDescent="0.2">
      <c r="A103" s="384"/>
      <c r="B103" s="384"/>
      <c r="C103" s="384"/>
      <c r="D103" s="384"/>
      <c r="E103" s="384"/>
      <c r="F103" s="384"/>
      <c r="G103" s="384"/>
      <c r="H103" s="384"/>
      <c r="I103" s="384"/>
      <c r="J103" s="384"/>
      <c r="K103" s="384"/>
      <c r="L103" s="384"/>
      <c r="M103" s="384"/>
      <c r="N103" s="384"/>
      <c r="O103" s="384"/>
      <c r="P103" s="384"/>
      <c r="Q103" s="384"/>
      <c r="R103" s="384"/>
      <c r="S103" s="384"/>
      <c r="T103" s="384"/>
      <c r="U103" s="384"/>
      <c r="V103" s="384"/>
      <c r="W103" s="384"/>
      <c r="X103" s="384"/>
      <c r="Y103" s="384"/>
      <c r="Z103" s="384"/>
      <c r="AA103" s="384"/>
      <c r="AB103" s="384"/>
      <c r="AC103" s="384"/>
      <c r="AD103" s="384"/>
      <c r="AE103" s="384"/>
      <c r="AF103" s="384"/>
      <c r="AG103" s="384"/>
      <c r="AH103" s="384"/>
    </row>
    <row r="104" spans="1:34" x14ac:dyDescent="0.2">
      <c r="A104" s="384"/>
      <c r="B104" s="384"/>
      <c r="C104" s="384"/>
      <c r="D104" s="384"/>
      <c r="E104" s="384"/>
      <c r="F104" s="384"/>
      <c r="G104" s="384"/>
      <c r="H104" s="384"/>
      <c r="I104" s="384"/>
      <c r="J104" s="384"/>
      <c r="K104" s="384"/>
      <c r="L104" s="384"/>
      <c r="M104" s="384"/>
      <c r="N104" s="384"/>
      <c r="O104" s="384"/>
      <c r="P104" s="384"/>
      <c r="Q104" s="384"/>
      <c r="R104" s="384"/>
      <c r="S104" s="384"/>
      <c r="T104" s="384"/>
      <c r="U104" s="384"/>
      <c r="V104" s="384"/>
      <c r="W104" s="384"/>
      <c r="X104" s="384"/>
      <c r="Y104" s="384"/>
      <c r="Z104" s="384"/>
      <c r="AA104" s="384"/>
      <c r="AB104" s="384"/>
      <c r="AC104" s="384"/>
      <c r="AD104" s="384"/>
      <c r="AE104" s="384"/>
      <c r="AF104" s="384"/>
      <c r="AG104" s="384"/>
      <c r="AH104" s="384"/>
    </row>
    <row r="105" spans="1:34" x14ac:dyDescent="0.2">
      <c r="A105" s="384"/>
      <c r="B105" s="384"/>
      <c r="C105" s="384"/>
      <c r="D105" s="384"/>
      <c r="E105" s="384"/>
      <c r="F105" s="384"/>
      <c r="G105" s="384"/>
      <c r="H105" s="384"/>
      <c r="I105" s="384"/>
      <c r="J105" s="384"/>
      <c r="K105" s="384"/>
      <c r="L105" s="384"/>
      <c r="M105" s="384"/>
      <c r="N105" s="384"/>
      <c r="O105" s="384"/>
      <c r="P105" s="384"/>
      <c r="Q105" s="384"/>
      <c r="R105" s="384"/>
      <c r="S105" s="384"/>
      <c r="T105" s="384"/>
      <c r="U105" s="384"/>
      <c r="V105" s="384"/>
      <c r="W105" s="384"/>
      <c r="X105" s="384"/>
      <c r="Y105" s="384"/>
      <c r="Z105" s="384"/>
      <c r="AA105" s="384"/>
      <c r="AB105" s="384"/>
      <c r="AC105" s="384"/>
      <c r="AD105" s="384"/>
      <c r="AE105" s="384"/>
      <c r="AF105" s="384"/>
      <c r="AG105" s="384"/>
      <c r="AH105" s="384"/>
    </row>
    <row r="106" spans="1:34" x14ac:dyDescent="0.2">
      <c r="A106" s="384"/>
      <c r="B106" s="384"/>
      <c r="C106" s="384"/>
      <c r="D106" s="384"/>
      <c r="E106" s="384"/>
      <c r="F106" s="384"/>
      <c r="G106" s="384"/>
      <c r="H106" s="384"/>
      <c r="I106" s="384"/>
      <c r="J106" s="384"/>
      <c r="K106" s="384"/>
      <c r="L106" s="384"/>
      <c r="M106" s="384"/>
      <c r="N106" s="384"/>
      <c r="O106" s="384"/>
      <c r="P106" s="384"/>
      <c r="Q106" s="384"/>
      <c r="R106" s="384"/>
      <c r="S106" s="384"/>
      <c r="T106" s="384"/>
      <c r="U106" s="384"/>
      <c r="V106" s="384"/>
      <c r="W106" s="384"/>
      <c r="X106" s="384"/>
      <c r="Y106" s="384"/>
      <c r="Z106" s="384"/>
      <c r="AA106" s="384"/>
      <c r="AB106" s="384"/>
      <c r="AC106" s="384"/>
      <c r="AD106" s="384"/>
      <c r="AE106" s="384"/>
      <c r="AF106" s="384"/>
      <c r="AG106" s="384"/>
      <c r="AH106" s="384"/>
    </row>
    <row r="107" spans="1:34" x14ac:dyDescent="0.2">
      <c r="A107" s="384"/>
      <c r="B107" s="384"/>
      <c r="C107" s="384"/>
      <c r="D107" s="384"/>
      <c r="E107" s="384"/>
      <c r="F107" s="384"/>
      <c r="G107" s="384"/>
      <c r="H107" s="384"/>
      <c r="I107" s="384"/>
      <c r="J107" s="384"/>
      <c r="K107" s="384"/>
      <c r="L107" s="384"/>
      <c r="M107" s="384"/>
      <c r="N107" s="384"/>
      <c r="O107" s="384"/>
      <c r="P107" s="384"/>
      <c r="Q107" s="384"/>
      <c r="R107" s="384"/>
      <c r="S107" s="384"/>
      <c r="T107" s="384"/>
      <c r="U107" s="384"/>
      <c r="V107" s="384"/>
      <c r="W107" s="384"/>
      <c r="X107" s="384"/>
      <c r="Y107" s="384"/>
      <c r="Z107" s="384"/>
      <c r="AA107" s="384"/>
      <c r="AB107" s="384"/>
      <c r="AC107" s="384"/>
      <c r="AD107" s="384"/>
      <c r="AE107" s="384"/>
      <c r="AF107" s="384"/>
      <c r="AG107" s="384"/>
      <c r="AH107" s="384"/>
    </row>
    <row r="108" spans="1:34" x14ac:dyDescent="0.2">
      <c r="A108" s="384"/>
      <c r="B108" s="384"/>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c r="Z108" s="384"/>
      <c r="AA108" s="384"/>
      <c r="AB108" s="384"/>
      <c r="AC108" s="384"/>
      <c r="AD108" s="384"/>
      <c r="AE108" s="384"/>
      <c r="AF108" s="384"/>
      <c r="AG108" s="384"/>
      <c r="AH108" s="384"/>
    </row>
    <row r="109" spans="1:34" x14ac:dyDescent="0.2">
      <c r="A109" s="384"/>
      <c r="B109" s="384"/>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c r="Z109" s="384"/>
      <c r="AA109" s="384"/>
      <c r="AB109" s="384"/>
      <c r="AC109" s="384"/>
      <c r="AD109" s="384"/>
      <c r="AE109" s="384"/>
      <c r="AF109" s="384"/>
      <c r="AG109" s="384"/>
      <c r="AH109" s="384"/>
    </row>
    <row r="110" spans="1:34" x14ac:dyDescent="0.2">
      <c r="A110" s="384"/>
      <c r="B110" s="384"/>
      <c r="C110" s="384"/>
      <c r="D110" s="384"/>
      <c r="E110" s="384"/>
      <c r="F110" s="384"/>
      <c r="G110" s="384"/>
      <c r="H110" s="384"/>
      <c r="I110" s="384"/>
      <c r="J110" s="384"/>
      <c r="K110" s="384"/>
      <c r="L110" s="384"/>
      <c r="M110" s="384"/>
      <c r="N110" s="384"/>
      <c r="O110" s="384"/>
      <c r="P110" s="384"/>
      <c r="Q110" s="384"/>
      <c r="R110" s="384"/>
      <c r="S110" s="384"/>
      <c r="T110" s="384"/>
      <c r="U110" s="384"/>
      <c r="V110" s="384"/>
      <c r="W110" s="384"/>
      <c r="X110" s="384"/>
      <c r="Y110" s="384"/>
      <c r="Z110" s="384"/>
      <c r="AA110" s="384"/>
      <c r="AB110" s="384"/>
      <c r="AC110" s="384"/>
      <c r="AD110" s="384"/>
      <c r="AE110" s="384"/>
      <c r="AF110" s="384"/>
      <c r="AG110" s="384"/>
      <c r="AH110" s="384"/>
    </row>
    <row r="111" spans="1:34" x14ac:dyDescent="0.2">
      <c r="A111" s="384"/>
      <c r="B111" s="384"/>
      <c r="C111" s="384"/>
      <c r="D111" s="384"/>
      <c r="E111" s="384"/>
      <c r="F111" s="384"/>
      <c r="G111" s="384"/>
      <c r="H111" s="384"/>
      <c r="I111" s="384"/>
      <c r="J111" s="384"/>
      <c r="K111" s="384"/>
      <c r="L111" s="384"/>
      <c r="M111" s="384"/>
      <c r="N111" s="384"/>
      <c r="O111" s="384"/>
      <c r="P111" s="384"/>
      <c r="Q111" s="384"/>
      <c r="R111" s="384"/>
      <c r="S111" s="384"/>
      <c r="T111" s="384"/>
      <c r="U111" s="384"/>
      <c r="V111" s="384"/>
      <c r="W111" s="384"/>
      <c r="X111" s="384"/>
      <c r="Y111" s="384"/>
      <c r="Z111" s="384"/>
      <c r="AA111" s="384"/>
      <c r="AB111" s="384"/>
      <c r="AC111" s="384"/>
      <c r="AD111" s="384"/>
      <c r="AE111" s="384"/>
      <c r="AF111" s="384"/>
      <c r="AG111" s="384"/>
      <c r="AH111" s="384"/>
    </row>
    <row r="112" spans="1:34" x14ac:dyDescent="0.2">
      <c r="A112" s="384"/>
      <c r="B112" s="384"/>
      <c r="C112" s="384"/>
      <c r="D112" s="384"/>
      <c r="E112" s="384"/>
      <c r="F112" s="384"/>
      <c r="G112" s="384"/>
      <c r="H112" s="384"/>
      <c r="I112" s="384"/>
      <c r="J112" s="384"/>
      <c r="K112" s="384"/>
      <c r="L112" s="384"/>
      <c r="M112" s="384"/>
      <c r="N112" s="384"/>
      <c r="O112" s="384"/>
      <c r="P112" s="384"/>
      <c r="Q112" s="384"/>
      <c r="R112" s="384"/>
      <c r="S112" s="384"/>
      <c r="T112" s="384"/>
      <c r="U112" s="384"/>
      <c r="V112" s="384"/>
      <c r="W112" s="384"/>
      <c r="X112" s="384"/>
      <c r="Y112" s="384"/>
      <c r="Z112" s="384"/>
      <c r="AA112" s="384"/>
      <c r="AB112" s="384"/>
      <c r="AC112" s="384"/>
      <c r="AD112" s="384"/>
      <c r="AE112" s="384"/>
      <c r="AF112" s="384"/>
      <c r="AG112" s="384"/>
      <c r="AH112" s="384"/>
    </row>
    <row r="113" spans="1:34" x14ac:dyDescent="0.2">
      <c r="A113" s="384"/>
      <c r="B113" s="384"/>
      <c r="C113" s="384"/>
      <c r="D113" s="384"/>
      <c r="E113" s="384"/>
      <c r="F113" s="384"/>
      <c r="G113" s="384"/>
      <c r="H113" s="384"/>
      <c r="I113" s="384"/>
      <c r="J113" s="384"/>
      <c r="K113" s="384"/>
      <c r="L113" s="384"/>
      <c r="M113" s="384"/>
      <c r="N113" s="384"/>
      <c r="O113" s="384"/>
      <c r="P113" s="384"/>
      <c r="Q113" s="384"/>
      <c r="R113" s="384"/>
      <c r="S113" s="384"/>
      <c r="T113" s="384"/>
      <c r="U113" s="384"/>
      <c r="V113" s="384"/>
      <c r="W113" s="384"/>
      <c r="X113" s="384"/>
      <c r="Y113" s="384"/>
      <c r="Z113" s="384"/>
      <c r="AA113" s="384"/>
      <c r="AB113" s="384"/>
      <c r="AC113" s="384"/>
      <c r="AD113" s="384"/>
      <c r="AE113" s="384"/>
      <c r="AF113" s="384"/>
      <c r="AG113" s="384"/>
      <c r="AH113" s="384"/>
    </row>
    <row r="114" spans="1:34" x14ac:dyDescent="0.2">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c r="Z114" s="384"/>
      <c r="AA114" s="384"/>
      <c r="AB114" s="384"/>
      <c r="AC114" s="384"/>
      <c r="AD114" s="384"/>
      <c r="AE114" s="384"/>
      <c r="AF114" s="384"/>
      <c r="AG114" s="384"/>
      <c r="AH114" s="384"/>
    </row>
    <row r="115" spans="1:34" x14ac:dyDescent="0.2">
      <c r="A115" s="384"/>
      <c r="B115" s="384"/>
      <c r="C115" s="384"/>
      <c r="D115" s="384"/>
      <c r="E115" s="384"/>
      <c r="F115" s="384"/>
      <c r="G115" s="384"/>
      <c r="H115" s="384"/>
      <c r="I115" s="384"/>
      <c r="J115" s="384"/>
      <c r="K115" s="384"/>
      <c r="L115" s="384"/>
      <c r="M115" s="384"/>
      <c r="N115" s="384"/>
      <c r="O115" s="384"/>
      <c r="P115" s="384"/>
      <c r="Q115" s="384"/>
      <c r="R115" s="384"/>
      <c r="S115" s="384"/>
      <c r="T115" s="384"/>
      <c r="U115" s="384"/>
      <c r="V115" s="384"/>
      <c r="W115" s="384"/>
      <c r="X115" s="384"/>
      <c r="Y115" s="384"/>
      <c r="Z115" s="384"/>
      <c r="AA115" s="384"/>
      <c r="AB115" s="384"/>
      <c r="AC115" s="384"/>
      <c r="AD115" s="384"/>
      <c r="AE115" s="384"/>
      <c r="AF115" s="384"/>
      <c r="AG115" s="384"/>
      <c r="AH115" s="384"/>
    </row>
    <row r="116" spans="1:34" x14ac:dyDescent="0.2">
      <c r="A116" s="384"/>
      <c r="B116" s="384"/>
      <c r="C116" s="384"/>
      <c r="D116" s="384"/>
      <c r="E116" s="384"/>
      <c r="F116" s="384"/>
      <c r="G116" s="384"/>
      <c r="H116" s="384"/>
      <c r="I116" s="384"/>
      <c r="J116" s="384"/>
      <c r="K116" s="384"/>
      <c r="L116" s="384"/>
      <c r="M116" s="384"/>
      <c r="N116" s="384"/>
      <c r="O116" s="384"/>
      <c r="P116" s="384"/>
      <c r="Q116" s="384"/>
      <c r="R116" s="384"/>
      <c r="S116" s="384"/>
      <c r="T116" s="384"/>
      <c r="U116" s="384"/>
      <c r="V116" s="384"/>
      <c r="W116" s="384"/>
      <c r="X116" s="384"/>
      <c r="Y116" s="384"/>
      <c r="Z116" s="384"/>
      <c r="AA116" s="384"/>
      <c r="AB116" s="384"/>
      <c r="AC116" s="384"/>
      <c r="AD116" s="384"/>
      <c r="AE116" s="384"/>
      <c r="AF116" s="384"/>
      <c r="AG116" s="384"/>
      <c r="AH116" s="384"/>
    </row>
    <row r="117" spans="1:34" x14ac:dyDescent="0.2">
      <c r="A117" s="384"/>
      <c r="B117" s="384"/>
      <c r="C117" s="384"/>
      <c r="D117" s="384"/>
      <c r="E117" s="384"/>
      <c r="F117" s="384"/>
      <c r="G117" s="384"/>
      <c r="H117" s="384"/>
      <c r="I117" s="384"/>
      <c r="J117" s="384"/>
      <c r="K117" s="384"/>
      <c r="L117" s="384"/>
      <c r="M117" s="384"/>
      <c r="N117" s="384"/>
      <c r="O117" s="384"/>
      <c r="P117" s="384"/>
      <c r="Q117" s="384"/>
      <c r="R117" s="384"/>
      <c r="S117" s="384"/>
      <c r="T117" s="384"/>
      <c r="U117" s="384"/>
      <c r="V117" s="384"/>
      <c r="W117" s="384"/>
      <c r="X117" s="384"/>
      <c r="Y117" s="384"/>
      <c r="Z117" s="384"/>
      <c r="AA117" s="384"/>
      <c r="AB117" s="384"/>
      <c r="AC117" s="384"/>
      <c r="AD117" s="384"/>
      <c r="AE117" s="384"/>
      <c r="AF117" s="384"/>
      <c r="AG117" s="384"/>
      <c r="AH117" s="384"/>
    </row>
    <row r="118" spans="1:34" x14ac:dyDescent="0.2">
      <c r="A118" s="384"/>
      <c r="B118" s="384"/>
      <c r="C118" s="384"/>
      <c r="D118" s="384"/>
      <c r="E118" s="384"/>
      <c r="F118" s="384"/>
      <c r="G118" s="384"/>
      <c r="H118" s="384"/>
      <c r="I118" s="384"/>
      <c r="J118" s="384"/>
      <c r="K118" s="384"/>
      <c r="L118" s="384"/>
      <c r="M118" s="384"/>
      <c r="N118" s="384"/>
      <c r="O118" s="384"/>
      <c r="P118" s="384"/>
      <c r="Q118" s="384"/>
      <c r="R118" s="384"/>
      <c r="S118" s="384"/>
      <c r="T118" s="384"/>
      <c r="U118" s="384"/>
      <c r="V118" s="384"/>
      <c r="W118" s="384"/>
      <c r="X118" s="384"/>
      <c r="Y118" s="384"/>
      <c r="Z118" s="384"/>
      <c r="AA118" s="384"/>
      <c r="AB118" s="384"/>
      <c r="AC118" s="384"/>
      <c r="AD118" s="384"/>
      <c r="AE118" s="384"/>
      <c r="AF118" s="384"/>
      <c r="AG118" s="384"/>
      <c r="AH118" s="384"/>
    </row>
    <row r="119" spans="1:34" x14ac:dyDescent="0.2">
      <c r="A119" s="384"/>
      <c r="B119" s="384"/>
      <c r="C119" s="384"/>
      <c r="D119" s="384"/>
      <c r="E119" s="384"/>
      <c r="F119" s="384"/>
      <c r="G119" s="384"/>
      <c r="H119" s="384"/>
      <c r="I119" s="384"/>
      <c r="J119" s="384"/>
      <c r="K119" s="384"/>
      <c r="L119" s="384"/>
      <c r="M119" s="384"/>
      <c r="N119" s="384"/>
      <c r="O119" s="384"/>
      <c r="P119" s="384"/>
      <c r="Q119" s="384"/>
      <c r="R119" s="384"/>
      <c r="S119" s="384"/>
      <c r="T119" s="384"/>
      <c r="U119" s="384"/>
      <c r="V119" s="384"/>
      <c r="W119" s="384"/>
      <c r="X119" s="384"/>
      <c r="Y119" s="384"/>
      <c r="Z119" s="384"/>
      <c r="AA119" s="384"/>
      <c r="AB119" s="384"/>
      <c r="AC119" s="384"/>
      <c r="AD119" s="384"/>
      <c r="AE119" s="384"/>
      <c r="AF119" s="384"/>
      <c r="AG119" s="384"/>
      <c r="AH119" s="384"/>
    </row>
    <row r="120" spans="1:34" x14ac:dyDescent="0.2">
      <c r="A120" s="384"/>
      <c r="B120" s="384"/>
      <c r="C120" s="384"/>
      <c r="D120" s="384"/>
      <c r="E120" s="384"/>
      <c r="F120" s="384"/>
      <c r="G120" s="384"/>
      <c r="H120" s="384"/>
      <c r="I120" s="384"/>
      <c r="J120" s="384"/>
      <c r="K120" s="384"/>
      <c r="L120" s="384"/>
      <c r="M120" s="384"/>
      <c r="N120" s="384"/>
      <c r="O120" s="384"/>
      <c r="P120" s="384"/>
      <c r="Q120" s="384"/>
      <c r="R120" s="384"/>
      <c r="S120" s="384"/>
      <c r="T120" s="384"/>
      <c r="U120" s="384"/>
      <c r="V120" s="384"/>
      <c r="W120" s="384"/>
      <c r="X120" s="384"/>
      <c r="Y120" s="384"/>
      <c r="Z120" s="384"/>
      <c r="AA120" s="384"/>
      <c r="AB120" s="384"/>
      <c r="AC120" s="384"/>
      <c r="AD120" s="384"/>
      <c r="AE120" s="384"/>
      <c r="AF120" s="384"/>
      <c r="AG120" s="384"/>
      <c r="AH120" s="384"/>
    </row>
    <row r="121" spans="1:34" x14ac:dyDescent="0.2">
      <c r="A121" s="384"/>
      <c r="B121" s="384"/>
      <c r="C121" s="384"/>
      <c r="D121" s="384"/>
      <c r="E121" s="384"/>
      <c r="F121" s="384"/>
      <c r="G121" s="384"/>
      <c r="H121" s="384"/>
      <c r="I121" s="384"/>
      <c r="J121" s="384"/>
      <c r="K121" s="384"/>
      <c r="L121" s="384"/>
      <c r="M121" s="384"/>
      <c r="N121" s="384"/>
      <c r="O121" s="384"/>
      <c r="P121" s="384"/>
      <c r="Q121" s="384"/>
      <c r="R121" s="384"/>
      <c r="S121" s="384"/>
      <c r="T121" s="384"/>
      <c r="U121" s="384"/>
      <c r="V121" s="384"/>
      <c r="W121" s="384"/>
      <c r="X121" s="384"/>
      <c r="Y121" s="384"/>
      <c r="Z121" s="384"/>
      <c r="AA121" s="384"/>
      <c r="AB121" s="384"/>
      <c r="AC121" s="384"/>
      <c r="AD121" s="384"/>
      <c r="AE121" s="384"/>
      <c r="AF121" s="384"/>
      <c r="AG121" s="384"/>
      <c r="AH121" s="384"/>
    </row>
    <row r="122" spans="1:34" x14ac:dyDescent="0.2">
      <c r="A122" s="384"/>
      <c r="B122" s="384"/>
      <c r="C122" s="384"/>
      <c r="D122" s="384"/>
      <c r="E122" s="384"/>
      <c r="F122" s="384"/>
      <c r="G122" s="384"/>
      <c r="H122" s="384"/>
      <c r="I122" s="384"/>
      <c r="J122" s="384"/>
      <c r="K122" s="384"/>
      <c r="L122" s="384"/>
      <c r="M122" s="384"/>
      <c r="N122" s="384"/>
      <c r="O122" s="384"/>
      <c r="P122" s="384"/>
      <c r="Q122" s="384"/>
      <c r="R122" s="384"/>
      <c r="S122" s="384"/>
      <c r="T122" s="384"/>
      <c r="U122" s="384"/>
      <c r="V122" s="384"/>
      <c r="W122" s="384"/>
      <c r="X122" s="384"/>
      <c r="Y122" s="384"/>
      <c r="Z122" s="384"/>
      <c r="AA122" s="384"/>
      <c r="AB122" s="384"/>
      <c r="AC122" s="384"/>
      <c r="AD122" s="384"/>
      <c r="AE122" s="384"/>
      <c r="AF122" s="384"/>
      <c r="AG122" s="384"/>
      <c r="AH122" s="384"/>
    </row>
    <row r="123" spans="1:34" x14ac:dyDescent="0.2">
      <c r="A123" s="384"/>
      <c r="B123" s="384"/>
      <c r="C123" s="384"/>
      <c r="D123" s="384"/>
      <c r="E123" s="384"/>
      <c r="F123" s="384"/>
      <c r="G123" s="384"/>
      <c r="H123" s="384"/>
      <c r="I123" s="384"/>
      <c r="J123" s="384"/>
      <c r="K123" s="384"/>
      <c r="L123" s="384"/>
      <c r="M123" s="384"/>
      <c r="N123" s="384"/>
      <c r="O123" s="384"/>
      <c r="P123" s="384"/>
      <c r="Q123" s="384"/>
      <c r="R123" s="384"/>
      <c r="S123" s="384"/>
      <c r="T123" s="384"/>
      <c r="U123" s="384"/>
      <c r="V123" s="384"/>
      <c r="W123" s="384"/>
      <c r="X123" s="384"/>
      <c r="Y123" s="384"/>
      <c r="Z123" s="384"/>
      <c r="AA123" s="384"/>
      <c r="AB123" s="384"/>
      <c r="AC123" s="384"/>
      <c r="AD123" s="384"/>
      <c r="AE123" s="384"/>
      <c r="AF123" s="384"/>
      <c r="AG123" s="384"/>
      <c r="AH123" s="384"/>
    </row>
    <row r="124" spans="1:34" x14ac:dyDescent="0.2">
      <c r="A124" s="384"/>
      <c r="B124" s="384"/>
      <c r="C124" s="384"/>
      <c r="D124" s="384"/>
      <c r="E124" s="384"/>
      <c r="F124" s="384"/>
      <c r="G124" s="384"/>
      <c r="H124" s="384"/>
      <c r="I124" s="384"/>
      <c r="J124" s="384"/>
      <c r="K124" s="384"/>
      <c r="L124" s="384"/>
      <c r="M124" s="384"/>
      <c r="N124" s="384"/>
      <c r="O124" s="384"/>
      <c r="P124" s="384"/>
      <c r="Q124" s="384"/>
      <c r="R124" s="384"/>
      <c r="S124" s="384"/>
      <c r="T124" s="384"/>
      <c r="U124" s="384"/>
      <c r="V124" s="384"/>
      <c r="W124" s="384"/>
      <c r="X124" s="384"/>
      <c r="Y124" s="384"/>
      <c r="Z124" s="384"/>
      <c r="AA124" s="384"/>
      <c r="AB124" s="384"/>
      <c r="AC124" s="384"/>
      <c r="AD124" s="384"/>
      <c r="AE124" s="384"/>
      <c r="AF124" s="384"/>
      <c r="AG124" s="384"/>
      <c r="AH124" s="384"/>
    </row>
    <row r="125" spans="1:34" x14ac:dyDescent="0.2">
      <c r="A125" s="384"/>
      <c r="B125" s="384"/>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c r="Z125" s="384"/>
      <c r="AA125" s="384"/>
      <c r="AB125" s="384"/>
      <c r="AC125" s="384"/>
      <c r="AD125" s="384"/>
      <c r="AE125" s="384"/>
      <c r="AF125" s="384"/>
      <c r="AG125" s="384"/>
      <c r="AH125" s="384"/>
    </row>
    <row r="126" spans="1:34" x14ac:dyDescent="0.2">
      <c r="A126" s="384"/>
      <c r="B126" s="384"/>
      <c r="C126" s="384"/>
      <c r="D126" s="384"/>
      <c r="E126" s="384"/>
      <c r="F126" s="384"/>
      <c r="G126" s="384"/>
      <c r="H126" s="384"/>
      <c r="I126" s="384"/>
      <c r="J126" s="384"/>
      <c r="K126" s="384"/>
      <c r="L126" s="384"/>
      <c r="M126" s="384"/>
      <c r="N126" s="384"/>
      <c r="O126" s="384"/>
      <c r="P126" s="384"/>
      <c r="Q126" s="384"/>
      <c r="R126" s="384"/>
      <c r="S126" s="384"/>
      <c r="T126" s="384"/>
      <c r="U126" s="384"/>
      <c r="V126" s="384"/>
      <c r="W126" s="384"/>
      <c r="X126" s="384"/>
      <c r="Y126" s="384"/>
      <c r="Z126" s="384"/>
      <c r="AA126" s="384"/>
      <c r="AB126" s="384"/>
      <c r="AC126" s="384"/>
      <c r="AD126" s="384"/>
      <c r="AE126" s="384"/>
      <c r="AF126" s="384"/>
      <c r="AG126" s="384"/>
      <c r="AH126" s="384"/>
    </row>
    <row r="127" spans="1:34" x14ac:dyDescent="0.2">
      <c r="A127" s="384"/>
      <c r="B127" s="384"/>
      <c r="C127" s="384"/>
      <c r="D127" s="384"/>
      <c r="E127" s="384"/>
      <c r="F127" s="384"/>
      <c r="G127" s="384"/>
      <c r="H127" s="384"/>
      <c r="I127" s="384"/>
      <c r="J127" s="384"/>
      <c r="K127" s="384"/>
      <c r="L127" s="384"/>
      <c r="M127" s="384"/>
      <c r="N127" s="384"/>
      <c r="O127" s="384"/>
      <c r="P127" s="384"/>
      <c r="Q127" s="384"/>
      <c r="R127" s="384"/>
      <c r="S127" s="384"/>
      <c r="T127" s="384"/>
      <c r="U127" s="384"/>
      <c r="V127" s="384"/>
      <c r="W127" s="384"/>
      <c r="X127" s="384"/>
      <c r="Y127" s="384"/>
      <c r="Z127" s="384"/>
      <c r="AA127" s="384"/>
      <c r="AB127" s="384"/>
      <c r="AC127" s="384"/>
      <c r="AD127" s="384"/>
      <c r="AE127" s="384"/>
      <c r="AF127" s="384"/>
      <c r="AG127" s="384"/>
      <c r="AH127" s="384"/>
    </row>
  </sheetData>
  <mergeCells count="6">
    <mergeCell ref="I1:J1"/>
    <mergeCell ref="N1:O1"/>
    <mergeCell ref="C2:O2"/>
    <mergeCell ref="E1:H1"/>
    <mergeCell ref="Q2:R2"/>
    <mergeCell ref="K1:L1"/>
  </mergeCells>
  <dataValidations count="1">
    <dataValidation type="list" allowBlank="1" showInputMessage="1" showErrorMessage="1" sqref="H4:J38" xr:uid="{00000000-0002-0000-0800-000000000000}">
      <formula1>"15,14,13,12,11,10,9,8,7,6,5,4,3,2,1,0"</formula1>
    </dataValidation>
  </dataValidations>
  <pageMargins left="0.53" right="0.17" top="0.28999999999999998" bottom="0.22" header="7.874015748031496E-2" footer="0.2"/>
  <pageSetup paperSize="9" scale="88"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1">
    <tabColor indexed="34"/>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29</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f>IF('2. Halbjahr'!K1="","",'2. Halbjahr'!K1)</f>
        <v>0</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35</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2,0                      15   </v>
      </c>
      <c r="C43" s="160">
        <f>ROUNDDOWN(Q4/500*$H$30, 1)*5</f>
        <v>35</v>
      </c>
      <c r="D43" s="160">
        <f>C44+0.5</f>
        <v>33.5</v>
      </c>
      <c r="E43" s="167"/>
      <c r="F43" s="168" t="str">
        <f>IF(ABS(SUM($A$43:A43))&gt;1, "ALARM","")</f>
        <v/>
      </c>
      <c r="G43" s="169"/>
    </row>
    <row r="44" spans="1:13" ht="12.75" customHeight="1" x14ac:dyDescent="0.2">
      <c r="A44" s="443"/>
      <c r="B44" s="164" t="str">
        <f>IF(C44&lt;D44,"ALARM!   Breite zu klein", TEXT(C44-D44+0.5,"#0,0")&amp;"                      "&amp;"14   ")</f>
        <v xml:space="preserve">1,5                      14   </v>
      </c>
      <c r="C44" s="158">
        <f t="shared" ref="C44:C57" si="5">ROUNDDOWN(Q5/500*$H$30, 1)*5</f>
        <v>33</v>
      </c>
      <c r="D44" s="158">
        <f t="shared" ref="D44:D56" si="6">C45+0.5</f>
        <v>32</v>
      </c>
      <c r="E44" s="170"/>
      <c r="F44" s="153" t="str">
        <f>IF(ABS(SUM($A$43:A44))&gt;1, "ALARM","")</f>
        <v/>
      </c>
      <c r="G44" s="171"/>
    </row>
    <row r="45" spans="1:13" ht="12.75" customHeight="1" x14ac:dyDescent="0.2">
      <c r="A45" s="444"/>
      <c r="B45" s="165" t="str">
        <f>IF(C45&lt;D45,"ALARM!   Breite zu klein", TEXT(C45-D45+0.5,"#0,0")&amp;"                      "&amp;"13   ")</f>
        <v xml:space="preserve">2,0                      13   </v>
      </c>
      <c r="C45" s="161">
        <f t="shared" si="5"/>
        <v>31.5</v>
      </c>
      <c r="D45" s="161">
        <f t="shared" si="6"/>
        <v>30</v>
      </c>
      <c r="E45" s="170"/>
      <c r="F45" s="153" t="str">
        <f>IF(ABS(SUM($A$43:A45))&gt;1, "ALARM","")</f>
        <v/>
      </c>
      <c r="G45" s="171"/>
    </row>
    <row r="46" spans="1:13" ht="12.75" customHeight="1" x14ac:dyDescent="0.2">
      <c r="A46" s="443"/>
      <c r="B46" s="163" t="str">
        <f>IF(C46&lt;D46,"ALARM!   Breite zu klein", TEXT(C46-D46+0.5,"#0,0")&amp;"                      "&amp;"12   ")</f>
        <v xml:space="preserve">1,5                      12   </v>
      </c>
      <c r="C46" s="160">
        <f t="shared" si="5"/>
        <v>29.5</v>
      </c>
      <c r="D46" s="160">
        <f t="shared" si="6"/>
        <v>28.5</v>
      </c>
      <c r="E46" s="167"/>
      <c r="F46" s="168" t="str">
        <f>IF(ABS(SUM($A$43:A46))&gt;1, "ALARM","")</f>
        <v/>
      </c>
      <c r="G46" s="169"/>
    </row>
    <row r="47" spans="1:13" ht="12.75" customHeight="1" x14ac:dyDescent="0.2">
      <c r="A47" s="443"/>
      <c r="B47" s="164" t="str">
        <f>IF(C47&lt;D47,"ALARM!   Breite zu klein", TEXT(C47-D47+0.5,"#0,0")&amp;"                      "&amp;"11   ")</f>
        <v xml:space="preserve">2,0                      11   </v>
      </c>
      <c r="C47" s="158">
        <f t="shared" si="5"/>
        <v>28</v>
      </c>
      <c r="D47" s="158">
        <f t="shared" si="6"/>
        <v>26.5</v>
      </c>
      <c r="E47" s="170"/>
      <c r="F47" s="153" t="str">
        <f>IF(ABS(SUM($A$43:A47))&gt;1, "ALARM","")</f>
        <v/>
      </c>
      <c r="G47" s="171"/>
    </row>
    <row r="48" spans="1:13" ht="12.75" customHeight="1" x14ac:dyDescent="0.2">
      <c r="A48" s="443"/>
      <c r="B48" s="165" t="str">
        <f>IF(C48&lt;D48,"ALARM!   Breite zu klein", TEXT(C48-D48+0.5,"#0,0")&amp;"                      "&amp;"10   ")</f>
        <v xml:space="preserve">1,5                      10   </v>
      </c>
      <c r="C48" s="161">
        <f t="shared" si="5"/>
        <v>26</v>
      </c>
      <c r="D48" s="161">
        <f t="shared" si="6"/>
        <v>25</v>
      </c>
      <c r="E48" s="170"/>
      <c r="F48" s="153" t="str">
        <f>IF(ABS(SUM($A$43:A48))&gt;1, "ALARM","")</f>
        <v/>
      </c>
      <c r="G48" s="171"/>
    </row>
    <row r="49" spans="1:7" ht="12.75" customHeight="1" x14ac:dyDescent="0.2">
      <c r="A49" s="442"/>
      <c r="B49" s="163" t="str">
        <f>IF(C49&lt;D49,"ALARM!   Breite zu klein", TEXT(C49-D49+0.5,"#0,0")&amp;"                      "&amp;" 9   ")</f>
        <v xml:space="preserve">2,0                       9   </v>
      </c>
      <c r="C49" s="160">
        <f t="shared" si="5"/>
        <v>24.5</v>
      </c>
      <c r="D49" s="160">
        <f t="shared" si="6"/>
        <v>23</v>
      </c>
      <c r="E49" s="167"/>
      <c r="F49" s="168" t="str">
        <f>IF(ABS(SUM($A$43:A49))&gt;1, "ALARM","")</f>
        <v/>
      </c>
      <c r="G49" s="169"/>
    </row>
    <row r="50" spans="1:7" ht="12.75" customHeight="1" x14ac:dyDescent="0.2">
      <c r="A50" s="443"/>
      <c r="B50" s="164" t="str">
        <f>IF(C50&lt;D50,"ALARM!   Breite zu klein", TEXT(C50-D50+0.5,"#0,0")&amp;"                      "&amp;" 8   ")</f>
        <v xml:space="preserve">1,5                       8   </v>
      </c>
      <c r="C50" s="158">
        <f t="shared" si="5"/>
        <v>22.5</v>
      </c>
      <c r="D50" s="158">
        <f t="shared" si="6"/>
        <v>21.5</v>
      </c>
      <c r="E50" s="170"/>
      <c r="F50" s="153" t="str">
        <f>IF(ABS(SUM($A$43:A50))&gt;1, "ALARM","")</f>
        <v/>
      </c>
      <c r="G50" s="171"/>
    </row>
    <row r="51" spans="1:7" ht="12.75" customHeight="1" x14ac:dyDescent="0.2">
      <c r="A51" s="444"/>
      <c r="B51" s="165" t="str">
        <f>IF(C51&lt;D51,"ALARM!   Breite zu klein", TEXT(C51-D51+0.5,"#0,0")&amp;"                      "&amp;" 7   ")</f>
        <v xml:space="preserve">2,0                       7   </v>
      </c>
      <c r="C51" s="161">
        <f t="shared" si="5"/>
        <v>21</v>
      </c>
      <c r="D51" s="161">
        <f t="shared" si="6"/>
        <v>19.5</v>
      </c>
      <c r="E51" s="170"/>
      <c r="F51" s="153" t="str">
        <f>IF(ABS(SUM($A$43:A51))&gt;1, "ALARM","")</f>
        <v/>
      </c>
      <c r="G51" s="171"/>
    </row>
    <row r="52" spans="1:7" ht="12.75" customHeight="1" x14ac:dyDescent="0.2">
      <c r="A52" s="443"/>
      <c r="B52" s="163" t="str">
        <f>IF(C52&lt;D52,"ALARM!   Breite zu klein", TEXT(C52-D52+0.5,"#0,0")&amp;"                      "&amp;" 6   ")</f>
        <v xml:space="preserve">1,5                       6   </v>
      </c>
      <c r="C52" s="160">
        <f t="shared" si="5"/>
        <v>19</v>
      </c>
      <c r="D52" s="160">
        <f t="shared" si="6"/>
        <v>18</v>
      </c>
      <c r="E52" s="167"/>
      <c r="F52" s="168" t="str">
        <f>IF(ABS(SUM($A$43:A52))&gt;1, "ALARM","")</f>
        <v/>
      </c>
      <c r="G52" s="169"/>
    </row>
    <row r="53" spans="1:7" ht="12.75" customHeight="1" x14ac:dyDescent="0.2">
      <c r="A53" s="443"/>
      <c r="B53" s="164" t="str">
        <f>IF(C53&lt;D53,"ALARM!   Breite zu klein", TEXT(C53-D53+0.5,"#0,0")&amp;"                      "&amp;" 5   ")</f>
        <v xml:space="preserve">2,0                       5   </v>
      </c>
      <c r="C53" s="158">
        <f t="shared" si="5"/>
        <v>17.5</v>
      </c>
      <c r="D53" s="158">
        <f t="shared" si="6"/>
        <v>16</v>
      </c>
      <c r="E53" s="170"/>
      <c r="F53" s="153" t="str">
        <f>IF(ABS(SUM($A$43:A53))&gt;1, "ALARM","")</f>
        <v/>
      </c>
      <c r="G53" s="171"/>
    </row>
    <row r="54" spans="1:7" ht="12.75" customHeight="1" x14ac:dyDescent="0.2">
      <c r="A54" s="443"/>
      <c r="B54" s="165" t="str">
        <f>IF(C54&lt;D54,"ALARM!   Breite zu klein", TEXT(C54-D54+0.5,"#0,0")&amp;"                      "&amp;" 4   ")</f>
        <v xml:space="preserve">1,5                       4   </v>
      </c>
      <c r="C54" s="161">
        <f t="shared" si="5"/>
        <v>15.5</v>
      </c>
      <c r="D54" s="161">
        <f t="shared" si="6"/>
        <v>14.5</v>
      </c>
      <c r="E54" s="170"/>
      <c r="F54" s="153" t="str">
        <f>IF(ABS(SUM($A$43:A54))&gt;1, "ALARM","")</f>
        <v/>
      </c>
      <c r="G54" s="171"/>
    </row>
    <row r="55" spans="1:7" ht="12.75" customHeight="1" x14ac:dyDescent="0.2">
      <c r="A55" s="442"/>
      <c r="B55" s="163" t="str">
        <f>IF(C55&lt;D55,"ALARM!   Breite zu klein", TEXT(C55-D55+0.5,"#0,0")&amp;"                      "&amp;" 3   ")</f>
        <v xml:space="preserve">2,5                       3   </v>
      </c>
      <c r="C55" s="160">
        <f t="shared" si="5"/>
        <v>14</v>
      </c>
      <c r="D55" s="160">
        <f t="shared" si="6"/>
        <v>12</v>
      </c>
      <c r="E55" s="167"/>
      <c r="F55" s="168" t="str">
        <f>IF(ABS(SUM($A$43:A55))&gt;1, "ALARM","")</f>
        <v/>
      </c>
      <c r="G55" s="169"/>
    </row>
    <row r="56" spans="1:7" ht="12.75" customHeight="1" x14ac:dyDescent="0.2">
      <c r="A56" s="443"/>
      <c r="B56" s="164" t="str">
        <f>IF(C56&lt;D56,"ALARM!   Breite zu klein", TEXT(C56-D56+0.5,"#0,0")&amp;"                      "&amp;" 2   ")</f>
        <v xml:space="preserve">2,5                       2   </v>
      </c>
      <c r="C56" s="158">
        <f t="shared" si="5"/>
        <v>11.5</v>
      </c>
      <c r="D56" s="158">
        <f t="shared" si="6"/>
        <v>9.5</v>
      </c>
      <c r="E56" s="170"/>
      <c r="F56" s="153" t="str">
        <f>IF(ABS(SUM($A$43:A56))&gt;1, "ALARM","")</f>
        <v/>
      </c>
      <c r="G56" s="171"/>
    </row>
    <row r="57" spans="1:7" ht="12.75" customHeight="1" x14ac:dyDescent="0.2">
      <c r="A57" s="444"/>
      <c r="B57" s="165" t="str">
        <f>IF(C57&lt;D57,"ALARM!   Breite zu klein", TEXT(C57-D57+0.5,"#0,0")&amp;"                      "&amp;" 1   ")</f>
        <v xml:space="preserve">2,5                       1   </v>
      </c>
      <c r="C57" s="161">
        <f t="shared" si="5"/>
        <v>9</v>
      </c>
      <c r="D57" s="161">
        <f>ROUNDUP(H34/500*$H$30,1)*5</f>
        <v>7</v>
      </c>
      <c r="E57" s="172"/>
      <c r="F57" s="153" t="str">
        <f>IF(ABS(SUM($A$43:A57))&gt;1, "ALARM","")</f>
        <v/>
      </c>
      <c r="G57" s="173"/>
    </row>
    <row r="58" spans="1:7" ht="12.75" customHeight="1" thickBot="1" x14ac:dyDescent="0.25">
      <c r="A58" s="445"/>
      <c r="B58" s="163" t="str">
        <f>IF(C58&lt;D58,"ALARM!   Breite zu klein", TEXT(C58-D58+0.5,"#0,0")&amp;"                      "&amp;" 0   ")</f>
        <v xml:space="preserve">7,0                       0   </v>
      </c>
      <c r="C58" s="159">
        <f>D57-0.5</f>
        <v>6.5</v>
      </c>
      <c r="D58" s="162">
        <v>0</v>
      </c>
      <c r="E58" s="174"/>
      <c r="F58" s="174" t="str">
        <f>IF(ABS(SUM($A$43:A58))&gt;1, "ALARM","")</f>
        <v/>
      </c>
      <c r="G58" s="175"/>
    </row>
    <row r="59" spans="1:7" x14ac:dyDescent="0.2">
      <c r="B59" s="166"/>
    </row>
  </sheetData>
  <sheetProtection algorithmName="SHA-512" hashValue="/f1H0ivajR8rsFjN8bUrjQRvLQqXLmXoZWhEaqBGHExptWj5VC3F2SjlWfjOu29Kw/0881b8f68cYGYbflWYfg==" saltValue="Bp/IrIhs4KUzs+Vhq2DOqw=="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71" priority="1" operator="equal">
      <formula>"ALARM!   Breite zu klein"</formula>
    </cfRule>
  </conditionalFormatting>
  <conditionalFormatting sqref="D4:D38">
    <cfRule type="expression" dxfId="70" priority="3" stopIfTrue="1">
      <formula>$H$3="Punkte"</formula>
    </cfRule>
    <cfRule type="expression" dxfId="69" priority="4" stopIfTrue="1">
      <formula>$H$3="BE"</formula>
    </cfRule>
  </conditionalFormatting>
  <conditionalFormatting sqref="F43:F58">
    <cfRule type="cellIs" dxfId="68" priority="2" operator="equal">
      <formula>"ALARM"</formula>
    </cfRule>
  </conditionalFormatting>
  <dataValidations disablePrompts="1" count="2">
    <dataValidation type="list" allowBlank="1" showInputMessage="1" showErrorMessage="1" sqref="H3" xr:uid="{00000000-0002-0000-0900-000000000000}">
      <formula1>"BE,Punkte"</formula1>
    </dataValidation>
    <dataValidation type="list" allowBlank="1" showInputMessage="1" showErrorMessage="1" sqref="H32" xr:uid="{00000000-0002-0000-0900-000001000000}">
      <formula1>"E,M"</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2">
    <tabColor indexed="34"/>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30</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f>IF('2. Halbjahr'!K1="","",'2. Halbjahr'!K1)</f>
        <v>0</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35</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2,0                      15   </v>
      </c>
      <c r="C43" s="160">
        <f>ROUNDDOWN(Q4/500*$H$30, 1)*5</f>
        <v>35</v>
      </c>
      <c r="D43" s="160">
        <f>C44+0.5</f>
        <v>33.5</v>
      </c>
      <c r="E43" s="167"/>
      <c r="F43" s="168" t="str">
        <f>IF(ABS(SUM($A$43:A43))&gt;1, "ALARM","")</f>
        <v/>
      </c>
      <c r="G43" s="169"/>
    </row>
    <row r="44" spans="1:13" ht="12.75" customHeight="1" x14ac:dyDescent="0.2">
      <c r="A44" s="443"/>
      <c r="B44" s="164" t="str">
        <f>IF(C44&lt;D44,"ALARM!   Breite zu klein", TEXT(C44-D44+0.5,"#0,0")&amp;"                      "&amp;"14   ")</f>
        <v xml:space="preserve">1,5                      14   </v>
      </c>
      <c r="C44" s="158">
        <f t="shared" ref="C44:C57" si="5">ROUNDDOWN(Q5/500*$H$30, 1)*5</f>
        <v>33</v>
      </c>
      <c r="D44" s="158">
        <f t="shared" ref="D44:D56" si="6">C45+0.5</f>
        <v>32</v>
      </c>
      <c r="E44" s="170"/>
      <c r="F44" s="153" t="str">
        <f>IF(ABS(SUM($A$43:A44))&gt;1, "ALARM","")</f>
        <v/>
      </c>
      <c r="G44" s="171"/>
    </row>
    <row r="45" spans="1:13" ht="12.75" customHeight="1" x14ac:dyDescent="0.2">
      <c r="A45" s="444"/>
      <c r="B45" s="165" t="str">
        <f>IF(C45&lt;D45,"ALARM!   Breite zu klein", TEXT(C45-D45+0.5,"#0,0")&amp;"                      "&amp;"13   ")</f>
        <v xml:space="preserve">2,0                      13   </v>
      </c>
      <c r="C45" s="161">
        <f t="shared" si="5"/>
        <v>31.5</v>
      </c>
      <c r="D45" s="161">
        <f t="shared" si="6"/>
        <v>30</v>
      </c>
      <c r="E45" s="170"/>
      <c r="F45" s="153" t="str">
        <f>IF(ABS(SUM($A$43:A45))&gt;1, "ALARM","")</f>
        <v/>
      </c>
      <c r="G45" s="171"/>
    </row>
    <row r="46" spans="1:13" ht="12.75" customHeight="1" x14ac:dyDescent="0.2">
      <c r="A46" s="443"/>
      <c r="B46" s="163" t="str">
        <f>IF(C46&lt;D46,"ALARM!   Breite zu klein", TEXT(C46-D46+0.5,"#0,0")&amp;"                      "&amp;"12   ")</f>
        <v xml:space="preserve">1,5                      12   </v>
      </c>
      <c r="C46" s="160">
        <f t="shared" si="5"/>
        <v>29.5</v>
      </c>
      <c r="D46" s="160">
        <f t="shared" si="6"/>
        <v>28.5</v>
      </c>
      <c r="E46" s="167"/>
      <c r="F46" s="168" t="str">
        <f>IF(ABS(SUM($A$43:A46))&gt;1, "ALARM","")</f>
        <v/>
      </c>
      <c r="G46" s="169"/>
    </row>
    <row r="47" spans="1:13" ht="12.75" customHeight="1" x14ac:dyDescent="0.2">
      <c r="A47" s="443"/>
      <c r="B47" s="164" t="str">
        <f>IF(C47&lt;D47,"ALARM!   Breite zu klein", TEXT(C47-D47+0.5,"#0,0")&amp;"                      "&amp;"11   ")</f>
        <v xml:space="preserve">2,0                      11   </v>
      </c>
      <c r="C47" s="158">
        <f t="shared" si="5"/>
        <v>28</v>
      </c>
      <c r="D47" s="158">
        <f t="shared" si="6"/>
        <v>26.5</v>
      </c>
      <c r="E47" s="170"/>
      <c r="F47" s="153" t="str">
        <f>IF(ABS(SUM($A$43:A47))&gt;1, "ALARM","")</f>
        <v/>
      </c>
      <c r="G47" s="171"/>
    </row>
    <row r="48" spans="1:13" ht="12.75" customHeight="1" x14ac:dyDescent="0.2">
      <c r="A48" s="443"/>
      <c r="B48" s="165" t="str">
        <f>IF(C48&lt;D48,"ALARM!   Breite zu klein", TEXT(C48-D48+0.5,"#0,0")&amp;"                      "&amp;"10   ")</f>
        <v xml:space="preserve">1,5                      10   </v>
      </c>
      <c r="C48" s="161">
        <f t="shared" si="5"/>
        <v>26</v>
      </c>
      <c r="D48" s="161">
        <f t="shared" si="6"/>
        <v>25</v>
      </c>
      <c r="E48" s="170"/>
      <c r="F48" s="153" t="str">
        <f>IF(ABS(SUM($A$43:A48))&gt;1, "ALARM","")</f>
        <v/>
      </c>
      <c r="G48" s="171"/>
    </row>
    <row r="49" spans="1:7" ht="12.75" customHeight="1" x14ac:dyDescent="0.2">
      <c r="A49" s="442"/>
      <c r="B49" s="163" t="str">
        <f>IF(C49&lt;D49,"ALARM!   Breite zu klein", TEXT(C49-D49+0.5,"#0,0")&amp;"                      "&amp;" 9   ")</f>
        <v xml:space="preserve">2,0                       9   </v>
      </c>
      <c r="C49" s="160">
        <f t="shared" si="5"/>
        <v>24.5</v>
      </c>
      <c r="D49" s="160">
        <f t="shared" si="6"/>
        <v>23</v>
      </c>
      <c r="E49" s="167"/>
      <c r="F49" s="168" t="str">
        <f>IF(ABS(SUM($A$43:A49))&gt;1, "ALARM","")</f>
        <v/>
      </c>
      <c r="G49" s="169"/>
    </row>
    <row r="50" spans="1:7" ht="12.75" customHeight="1" x14ac:dyDescent="0.2">
      <c r="A50" s="443"/>
      <c r="B50" s="164" t="str">
        <f>IF(C50&lt;D50,"ALARM!   Breite zu klein", TEXT(C50-D50+0.5,"#0,0")&amp;"                      "&amp;" 8   ")</f>
        <v xml:space="preserve">1,5                       8   </v>
      </c>
      <c r="C50" s="158">
        <f t="shared" si="5"/>
        <v>22.5</v>
      </c>
      <c r="D50" s="158">
        <f t="shared" si="6"/>
        <v>21.5</v>
      </c>
      <c r="E50" s="170"/>
      <c r="F50" s="153" t="str">
        <f>IF(ABS(SUM($A$43:A50))&gt;1, "ALARM","")</f>
        <v/>
      </c>
      <c r="G50" s="171"/>
    </row>
    <row r="51" spans="1:7" ht="12.75" customHeight="1" x14ac:dyDescent="0.2">
      <c r="A51" s="444"/>
      <c r="B51" s="165" t="str">
        <f>IF(C51&lt;D51,"ALARM!   Breite zu klein", TEXT(C51-D51+0.5,"#0,0")&amp;"                      "&amp;" 7   ")</f>
        <v xml:space="preserve">2,0                       7   </v>
      </c>
      <c r="C51" s="161">
        <f t="shared" si="5"/>
        <v>21</v>
      </c>
      <c r="D51" s="161">
        <f t="shared" si="6"/>
        <v>19.5</v>
      </c>
      <c r="E51" s="170"/>
      <c r="F51" s="153" t="str">
        <f>IF(ABS(SUM($A$43:A51))&gt;1, "ALARM","")</f>
        <v/>
      </c>
      <c r="G51" s="171"/>
    </row>
    <row r="52" spans="1:7" ht="12.75" customHeight="1" x14ac:dyDescent="0.2">
      <c r="A52" s="443"/>
      <c r="B52" s="163" t="str">
        <f>IF(C52&lt;D52,"ALARM!   Breite zu klein", TEXT(C52-D52+0.5,"#0,0")&amp;"                      "&amp;" 6   ")</f>
        <v xml:space="preserve">1,5                       6   </v>
      </c>
      <c r="C52" s="160">
        <f t="shared" si="5"/>
        <v>19</v>
      </c>
      <c r="D52" s="160">
        <f t="shared" si="6"/>
        <v>18</v>
      </c>
      <c r="E52" s="167"/>
      <c r="F52" s="168" t="str">
        <f>IF(ABS(SUM($A$43:A52))&gt;1, "ALARM","")</f>
        <v/>
      </c>
      <c r="G52" s="169"/>
    </row>
    <row r="53" spans="1:7" ht="12.75" customHeight="1" x14ac:dyDescent="0.2">
      <c r="A53" s="443"/>
      <c r="B53" s="164" t="str">
        <f>IF(C53&lt;D53,"ALARM!   Breite zu klein", TEXT(C53-D53+0.5,"#0,0")&amp;"                      "&amp;" 5   ")</f>
        <v xml:space="preserve">2,0                       5   </v>
      </c>
      <c r="C53" s="158">
        <f t="shared" si="5"/>
        <v>17.5</v>
      </c>
      <c r="D53" s="158">
        <f t="shared" si="6"/>
        <v>16</v>
      </c>
      <c r="E53" s="170"/>
      <c r="F53" s="153" t="str">
        <f>IF(ABS(SUM($A$43:A53))&gt;1, "ALARM","")</f>
        <v/>
      </c>
      <c r="G53" s="171"/>
    </row>
    <row r="54" spans="1:7" ht="12.75" customHeight="1" x14ac:dyDescent="0.2">
      <c r="A54" s="443"/>
      <c r="B54" s="165" t="str">
        <f>IF(C54&lt;D54,"ALARM!   Breite zu klein", TEXT(C54-D54+0.5,"#0,0")&amp;"                      "&amp;" 4   ")</f>
        <v xml:space="preserve">1,5                       4   </v>
      </c>
      <c r="C54" s="161">
        <f t="shared" si="5"/>
        <v>15.5</v>
      </c>
      <c r="D54" s="161">
        <f t="shared" si="6"/>
        <v>14.5</v>
      </c>
      <c r="E54" s="170"/>
      <c r="F54" s="153" t="str">
        <f>IF(ABS(SUM($A$43:A54))&gt;1, "ALARM","")</f>
        <v/>
      </c>
      <c r="G54" s="171"/>
    </row>
    <row r="55" spans="1:7" ht="12.75" customHeight="1" x14ac:dyDescent="0.2">
      <c r="A55" s="442"/>
      <c r="B55" s="163" t="str">
        <f>IF(C55&lt;D55,"ALARM!   Breite zu klein", TEXT(C55-D55+0.5,"#0,0")&amp;"                      "&amp;" 3   ")</f>
        <v xml:space="preserve">2,5                       3   </v>
      </c>
      <c r="C55" s="160">
        <f t="shared" si="5"/>
        <v>14</v>
      </c>
      <c r="D55" s="160">
        <f t="shared" si="6"/>
        <v>12</v>
      </c>
      <c r="E55" s="167"/>
      <c r="F55" s="168" t="str">
        <f>IF(ABS(SUM($A$43:A55))&gt;1, "ALARM","")</f>
        <v/>
      </c>
      <c r="G55" s="169"/>
    </row>
    <row r="56" spans="1:7" ht="12.75" customHeight="1" x14ac:dyDescent="0.2">
      <c r="A56" s="443"/>
      <c r="B56" s="164" t="str">
        <f>IF(C56&lt;D56,"ALARM!   Breite zu klein", TEXT(C56-D56+0.5,"#0,0")&amp;"                      "&amp;" 2   ")</f>
        <v xml:space="preserve">2,5                       2   </v>
      </c>
      <c r="C56" s="158">
        <f t="shared" si="5"/>
        <v>11.5</v>
      </c>
      <c r="D56" s="158">
        <f t="shared" si="6"/>
        <v>9.5</v>
      </c>
      <c r="E56" s="170"/>
      <c r="F56" s="153" t="str">
        <f>IF(ABS(SUM($A$43:A56))&gt;1, "ALARM","")</f>
        <v/>
      </c>
      <c r="G56" s="171"/>
    </row>
    <row r="57" spans="1:7" ht="12.75" customHeight="1" x14ac:dyDescent="0.2">
      <c r="A57" s="444"/>
      <c r="B57" s="165" t="str">
        <f>IF(C57&lt;D57,"ALARM!   Breite zu klein", TEXT(C57-D57+0.5,"#0,0")&amp;"                      "&amp;" 1   ")</f>
        <v xml:space="preserve">2,5                       1   </v>
      </c>
      <c r="C57" s="161">
        <f t="shared" si="5"/>
        <v>9</v>
      </c>
      <c r="D57" s="161">
        <f>ROUNDUP(H34/500*$H$30,1)*5</f>
        <v>7</v>
      </c>
      <c r="E57" s="172"/>
      <c r="F57" s="153" t="str">
        <f>IF(ABS(SUM($A$43:A57))&gt;1, "ALARM","")</f>
        <v/>
      </c>
      <c r="G57" s="173"/>
    </row>
    <row r="58" spans="1:7" ht="12.75" customHeight="1" thickBot="1" x14ac:dyDescent="0.25">
      <c r="A58" s="445"/>
      <c r="B58" s="163" t="str">
        <f>IF(C58&lt;D58,"ALARM!   Breite zu klein", TEXT(C58-D58+0.5,"#0,0")&amp;"                      "&amp;" 0   ")</f>
        <v xml:space="preserve">7,0                       0   </v>
      </c>
      <c r="C58" s="159">
        <f>D57-0.5</f>
        <v>6.5</v>
      </c>
      <c r="D58" s="162">
        <v>0</v>
      </c>
      <c r="E58" s="174"/>
      <c r="F58" s="174" t="str">
        <f>IF(ABS(SUM($A$43:A58))&gt;1, "ALARM","")</f>
        <v/>
      </c>
      <c r="G58" s="175"/>
    </row>
    <row r="59" spans="1:7" x14ac:dyDescent="0.2">
      <c r="B59" s="166"/>
    </row>
  </sheetData>
  <sheetProtection algorithmName="SHA-512" hashValue="aZ23n7veEv1pF91xHXCBxpYlfuJCmTRGJ/s3Paovku3VXJkoDVCyPN1ioxm0WwvgMp2ZAR4EOM63iUeeyN1Wqg==" saltValue="Sl5tEfBf4C3tObdeafn1Qw=="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67" priority="1" operator="equal">
      <formula>"ALARM!   Breite zu klein"</formula>
    </cfRule>
  </conditionalFormatting>
  <conditionalFormatting sqref="D4:D38">
    <cfRule type="expression" dxfId="66" priority="3" stopIfTrue="1">
      <formula>$H$3="Punkte"</formula>
    </cfRule>
    <cfRule type="expression" dxfId="65" priority="4" stopIfTrue="1">
      <formula>$H$3="BE"</formula>
    </cfRule>
  </conditionalFormatting>
  <conditionalFormatting sqref="F43:F58">
    <cfRule type="cellIs" dxfId="64" priority="2" operator="equal">
      <formula>"ALARM"</formula>
    </cfRule>
  </conditionalFormatting>
  <dataValidations count="2">
    <dataValidation type="list" allowBlank="1" showInputMessage="1" showErrorMessage="1" sqref="H32" xr:uid="{00000000-0002-0000-0A00-000000000000}">
      <formula1>"E,M"</formula1>
    </dataValidation>
    <dataValidation type="list" allowBlank="1" showInputMessage="1" showErrorMessage="1" sqref="H3" xr:uid="{00000000-0002-0000-0A00-000001000000}">
      <formula1>"BE,Punkte"</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3">
    <tabColor rgb="FFFFCC66"/>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73</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f>IF('2. Halbjahr'!K1="","",'2. Halbjahr'!K1)</f>
        <v>0</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18</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18</v>
      </c>
      <c r="D43" s="160">
        <f>C44+0.5</f>
        <v>17.5</v>
      </c>
      <c r="E43" s="167"/>
      <c r="F43" s="168" t="str">
        <f>IF(ABS(SUM($A$43:A43))&gt;1, "ALARM","")</f>
        <v/>
      </c>
      <c r="G43" s="169"/>
    </row>
    <row r="44" spans="1:13" ht="12.75" customHeight="1" x14ac:dyDescent="0.2">
      <c r="A44" s="443"/>
      <c r="B44" s="164" t="str">
        <f>IF(C44&lt;D44,"ALARM!   Breite zu klein", TEXT(C44-D44+0.5,"#0,0")&amp;"                      "&amp;"14   ")</f>
        <v xml:space="preserve">1,0                      14   </v>
      </c>
      <c r="C44" s="158">
        <f t="shared" ref="C44:C57" si="5">ROUNDDOWN(Q5/500*$H$30, 1)*5</f>
        <v>17</v>
      </c>
      <c r="D44" s="158">
        <f t="shared" ref="D44:D56" si="6">C45+0.5</f>
        <v>16.5</v>
      </c>
      <c r="E44" s="170"/>
      <c r="F44" s="153" t="str">
        <f>IF(ABS(SUM($A$43:A44))&gt;1, "ALARM","")</f>
        <v/>
      </c>
      <c r="G44" s="171"/>
    </row>
    <row r="45" spans="1:13" ht="12.75" customHeight="1" x14ac:dyDescent="0.2">
      <c r="A45" s="444"/>
      <c r="B45" s="165" t="str">
        <f>IF(C45&lt;D45,"ALARM!   Breite zu klein", TEXT(C45-D45+0.5,"#0,0")&amp;"                      "&amp;"13   ")</f>
        <v xml:space="preserve">1,0                      13   </v>
      </c>
      <c r="C45" s="161">
        <f t="shared" si="5"/>
        <v>16</v>
      </c>
      <c r="D45" s="161">
        <f t="shared" si="6"/>
        <v>15.5</v>
      </c>
      <c r="E45" s="170"/>
      <c r="F45" s="153" t="str">
        <f>IF(ABS(SUM($A$43:A45))&gt;1, "ALARM","")</f>
        <v/>
      </c>
      <c r="G45" s="171"/>
    </row>
    <row r="46" spans="1:13" ht="12.75" customHeight="1" x14ac:dyDescent="0.2">
      <c r="A46" s="443"/>
      <c r="B46" s="163" t="str">
        <f>IF(C46&lt;D46,"ALARM!   Breite zu klein", TEXT(C46-D46+0.5,"#0,0")&amp;"                      "&amp;"12   ")</f>
        <v xml:space="preserve">1,0                      12   </v>
      </c>
      <c r="C46" s="160">
        <f t="shared" si="5"/>
        <v>15</v>
      </c>
      <c r="D46" s="160">
        <f t="shared" si="6"/>
        <v>14.5</v>
      </c>
      <c r="E46" s="167"/>
      <c r="F46" s="168" t="str">
        <f>IF(ABS(SUM($A$43:A46))&gt;1, "ALARM","")</f>
        <v/>
      </c>
      <c r="G46" s="169"/>
    </row>
    <row r="47" spans="1:13" ht="12.75" customHeight="1" x14ac:dyDescent="0.2">
      <c r="A47" s="443"/>
      <c r="B47" s="164" t="str">
        <f>IF(C47&lt;D47,"ALARM!   Breite zu klein", TEXT(C47-D47+0.5,"#0,0")&amp;"                      "&amp;"11   ")</f>
        <v xml:space="preserve">0,5                      11   </v>
      </c>
      <c r="C47" s="158">
        <f t="shared" si="5"/>
        <v>14</v>
      </c>
      <c r="D47" s="158">
        <f t="shared" si="6"/>
        <v>14</v>
      </c>
      <c r="E47" s="170"/>
      <c r="F47" s="153" t="str">
        <f>IF(ABS(SUM($A$43:A47))&gt;1, "ALARM","")</f>
        <v/>
      </c>
      <c r="G47" s="171"/>
    </row>
    <row r="48" spans="1:13" ht="12.75" customHeight="1" x14ac:dyDescent="0.2">
      <c r="A48" s="443"/>
      <c r="B48" s="165" t="str">
        <f>IF(C48&lt;D48,"ALARM!   Breite zu klein", TEXT(C48-D48+0.5,"#0,0")&amp;"                      "&amp;"10   ")</f>
        <v xml:space="preserve">1,0                      10   </v>
      </c>
      <c r="C48" s="161">
        <f t="shared" si="5"/>
        <v>13.5</v>
      </c>
      <c r="D48" s="161">
        <f t="shared" si="6"/>
        <v>13</v>
      </c>
      <c r="E48" s="170"/>
      <c r="F48" s="153" t="str">
        <f>IF(ABS(SUM($A$43:A48))&gt;1, "ALARM","")</f>
        <v/>
      </c>
      <c r="G48" s="171"/>
    </row>
    <row r="49" spans="1:7" ht="12.75" customHeight="1" x14ac:dyDescent="0.2">
      <c r="A49" s="442"/>
      <c r="B49" s="163" t="str">
        <f>IF(C49&lt;D49,"ALARM!   Breite zu klein", TEXT(C49-D49+0.5,"#0,0")&amp;"                      "&amp;" 9   ")</f>
        <v xml:space="preserve">1,0                       9   </v>
      </c>
      <c r="C49" s="160">
        <f t="shared" si="5"/>
        <v>12.5</v>
      </c>
      <c r="D49" s="160">
        <f t="shared" si="6"/>
        <v>12</v>
      </c>
      <c r="E49" s="167"/>
      <c r="F49" s="168" t="str">
        <f>IF(ABS(SUM($A$43:A49))&gt;1, "ALARM","")</f>
        <v/>
      </c>
      <c r="G49" s="169"/>
    </row>
    <row r="50" spans="1:7" ht="12.75" customHeight="1" x14ac:dyDescent="0.2">
      <c r="A50" s="443"/>
      <c r="B50" s="164" t="str">
        <f>IF(C50&lt;D50,"ALARM!   Breite zu klein", TEXT(C50-D50+0.5,"#0,0")&amp;"                      "&amp;" 8   ")</f>
        <v xml:space="preserve">1,0                       8   </v>
      </c>
      <c r="C50" s="158">
        <f t="shared" si="5"/>
        <v>11.5</v>
      </c>
      <c r="D50" s="158">
        <f t="shared" si="6"/>
        <v>11</v>
      </c>
      <c r="E50" s="170"/>
      <c r="F50" s="153" t="str">
        <f>IF(ABS(SUM($A$43:A50))&gt;1, "ALARM","")</f>
        <v/>
      </c>
      <c r="G50" s="171"/>
    </row>
    <row r="51" spans="1:7" ht="12.75" customHeight="1" x14ac:dyDescent="0.2">
      <c r="A51" s="444"/>
      <c r="B51" s="165" t="str">
        <f>IF(C51&lt;D51,"ALARM!   Breite zu klein", TEXT(C51-D51+0.5,"#0,0")&amp;"                      "&amp;" 7   ")</f>
        <v xml:space="preserve">1,0                       7   </v>
      </c>
      <c r="C51" s="161">
        <f t="shared" si="5"/>
        <v>10.5</v>
      </c>
      <c r="D51" s="161">
        <f t="shared" si="6"/>
        <v>10</v>
      </c>
      <c r="E51" s="170"/>
      <c r="F51" s="153" t="str">
        <f>IF(ABS(SUM($A$43:A51))&gt;1, "ALARM","")</f>
        <v/>
      </c>
      <c r="G51" s="171"/>
    </row>
    <row r="52" spans="1:7" ht="12.75" customHeight="1" x14ac:dyDescent="0.2">
      <c r="A52" s="443"/>
      <c r="B52" s="163" t="str">
        <f>IF(C52&lt;D52,"ALARM!   Breite zu klein", TEXT(C52-D52+0.5,"#0,0")&amp;"                      "&amp;" 6   ")</f>
        <v xml:space="preserve">0,5                       6   </v>
      </c>
      <c r="C52" s="160">
        <f t="shared" si="5"/>
        <v>9.5</v>
      </c>
      <c r="D52" s="160">
        <f t="shared" si="6"/>
        <v>9.5</v>
      </c>
      <c r="E52" s="167"/>
      <c r="F52" s="168" t="str">
        <f>IF(ABS(SUM($A$43:A52))&gt;1, "ALARM","")</f>
        <v/>
      </c>
      <c r="G52" s="169"/>
    </row>
    <row r="53" spans="1:7" ht="12.75" customHeight="1" x14ac:dyDescent="0.2">
      <c r="A53" s="443"/>
      <c r="B53" s="164" t="str">
        <f>IF(C53&lt;D53,"ALARM!   Breite zu klein", TEXT(C53-D53+0.5,"#0,0")&amp;"                      "&amp;" 5   ")</f>
        <v xml:space="preserve">1,0                       5   </v>
      </c>
      <c r="C53" s="158">
        <f t="shared" si="5"/>
        <v>9</v>
      </c>
      <c r="D53" s="158">
        <f t="shared" si="6"/>
        <v>8.5</v>
      </c>
      <c r="E53" s="170"/>
      <c r="F53" s="153" t="str">
        <f>IF(ABS(SUM($A$43:A53))&gt;1, "ALARM","")</f>
        <v/>
      </c>
      <c r="G53" s="171"/>
    </row>
    <row r="54" spans="1:7" ht="12.75" customHeight="1" x14ac:dyDescent="0.2">
      <c r="A54" s="443"/>
      <c r="B54" s="165" t="str">
        <f>IF(C54&lt;D54,"ALARM!   Breite zu klein", TEXT(C54-D54+0.5,"#0,0")&amp;"                      "&amp;" 4   ")</f>
        <v xml:space="preserve">1,0                       4   </v>
      </c>
      <c r="C54" s="161">
        <f t="shared" si="5"/>
        <v>8</v>
      </c>
      <c r="D54" s="161">
        <f t="shared" si="6"/>
        <v>7.5</v>
      </c>
      <c r="E54" s="170"/>
      <c r="F54" s="153" t="str">
        <f>IF(ABS(SUM($A$43:A54))&gt;1, "ALARM","")</f>
        <v/>
      </c>
      <c r="G54" s="171"/>
    </row>
    <row r="55" spans="1:7" ht="12.75" customHeight="1" x14ac:dyDescent="0.2">
      <c r="A55" s="442"/>
      <c r="B55" s="163" t="str">
        <f>IF(C55&lt;D55,"ALARM!   Breite zu klein", TEXT(C55-D55+0.5,"#0,0")&amp;"                      "&amp;" 3   ")</f>
        <v xml:space="preserve">1,0                       3   </v>
      </c>
      <c r="C55" s="160">
        <f t="shared" si="5"/>
        <v>7</v>
      </c>
      <c r="D55" s="160">
        <f t="shared" si="6"/>
        <v>6.5</v>
      </c>
      <c r="E55" s="167"/>
      <c r="F55" s="168" t="str">
        <f>IF(ABS(SUM($A$43:A55))&gt;1, "ALARM","")</f>
        <v/>
      </c>
      <c r="G55" s="169"/>
    </row>
    <row r="56" spans="1:7" ht="12.75" customHeight="1" x14ac:dyDescent="0.2">
      <c r="A56" s="443"/>
      <c r="B56" s="164" t="str">
        <f>IF(C56&lt;D56,"ALARM!   Breite zu klein", TEXT(C56-D56+0.5,"#0,0")&amp;"                      "&amp;" 2   ")</f>
        <v xml:space="preserve">1,5                       2   </v>
      </c>
      <c r="C56" s="158">
        <f t="shared" si="5"/>
        <v>6</v>
      </c>
      <c r="D56" s="158">
        <f t="shared" si="6"/>
        <v>5</v>
      </c>
      <c r="E56" s="170"/>
      <c r="F56" s="153" t="str">
        <f>IF(ABS(SUM($A$43:A56))&gt;1, "ALARM","")</f>
        <v/>
      </c>
      <c r="G56" s="171"/>
    </row>
    <row r="57" spans="1:7" ht="12.75" customHeight="1" x14ac:dyDescent="0.2">
      <c r="A57" s="444"/>
      <c r="B57" s="165" t="str">
        <f>IF(C57&lt;D57,"ALARM!   Breite zu klein", TEXT(C57-D57+0.5,"#0,0")&amp;"                      "&amp;" 1   ")</f>
        <v xml:space="preserve">1,0                       1   </v>
      </c>
      <c r="C57" s="161">
        <f t="shared" si="5"/>
        <v>4.5</v>
      </c>
      <c r="D57" s="161">
        <f>ROUNDUP(H34/500*$H$30,1)*5</f>
        <v>3.9999999999999996</v>
      </c>
      <c r="E57" s="172"/>
      <c r="F57" s="153" t="str">
        <f>IF(ABS(SUM($A$43:A57))&gt;1, "ALARM","")</f>
        <v/>
      </c>
      <c r="G57" s="173"/>
    </row>
    <row r="58" spans="1:7" ht="12.75" customHeight="1" thickBot="1" x14ac:dyDescent="0.25">
      <c r="A58" s="445"/>
      <c r="B58" s="163" t="str">
        <f>IF(C58&lt;D58,"ALARM!   Breite zu klein", TEXT(C58-D58+0.5,"#0,0")&amp;"                      "&amp;" 0   ")</f>
        <v xml:space="preserve">4,0                       0   </v>
      </c>
      <c r="C58" s="159">
        <f>D57-0.5</f>
        <v>3.4999999999999996</v>
      </c>
      <c r="D58" s="162">
        <v>0</v>
      </c>
      <c r="E58" s="174"/>
      <c r="F58" s="174" t="str">
        <f>IF(ABS(SUM($A$43:A58))&gt;1, "ALARM","")</f>
        <v/>
      </c>
      <c r="G58" s="175"/>
    </row>
    <row r="59" spans="1:7" x14ac:dyDescent="0.2">
      <c r="B59" s="166"/>
    </row>
  </sheetData>
  <sheetProtection algorithmName="SHA-512" hashValue="CNYrfumBC869cMOd1MeddfICMg3QxnnoMpBvbTsc4P7Aen5TQ6fzHZ4ViKRblDR/qJT0lHpmgPQzcJws3GizdA==" saltValue="UwhHmNx4pzK/iPLl9sw5pA=="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63" priority="1" operator="equal">
      <formula>"ALARM!   Breite zu klein"</formula>
    </cfRule>
  </conditionalFormatting>
  <conditionalFormatting sqref="D4:D38">
    <cfRule type="expression" dxfId="62" priority="3" stopIfTrue="1">
      <formula>$H$3="Punkte"</formula>
    </cfRule>
    <cfRule type="expression" dxfId="61" priority="4" stopIfTrue="1">
      <formula>$H$3="BE"</formula>
    </cfRule>
  </conditionalFormatting>
  <conditionalFormatting sqref="F43:F58">
    <cfRule type="cellIs" dxfId="60" priority="2" operator="equal">
      <formula>"ALARM"</formula>
    </cfRule>
  </conditionalFormatting>
  <dataValidations disablePrompts="1" count="2">
    <dataValidation type="list" allowBlank="1" showInputMessage="1" showErrorMessage="1" sqref="H32" xr:uid="{00000000-0002-0000-0B00-000000000000}">
      <formula1>"E,M"</formula1>
    </dataValidation>
    <dataValidation type="list" allowBlank="1" showInputMessage="1" showErrorMessage="1" sqref="H3" xr:uid="{00000000-0002-0000-0B00-000001000000}">
      <formula1>"BE,Punkte"</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4">
    <tabColor rgb="FFFFCC66"/>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74</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f>IF('2. Halbjahr'!K1="","",'2. Halbjahr'!K1)</f>
        <v>0</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18</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18</v>
      </c>
      <c r="D43" s="160">
        <f>C44+0.5</f>
        <v>17.5</v>
      </c>
      <c r="E43" s="167"/>
      <c r="F43" s="168" t="str">
        <f>IF(ABS(SUM($A$43:A43))&gt;1, "ALARM","")</f>
        <v/>
      </c>
      <c r="G43" s="169"/>
    </row>
    <row r="44" spans="1:13" ht="12.75" customHeight="1" x14ac:dyDescent="0.2">
      <c r="A44" s="443"/>
      <c r="B44" s="164" t="str">
        <f>IF(C44&lt;D44,"ALARM!   Breite zu klein", TEXT(C44-D44+0.5,"#0,0")&amp;"                      "&amp;"14   ")</f>
        <v xml:space="preserve">1,0                      14   </v>
      </c>
      <c r="C44" s="158">
        <f t="shared" ref="C44:C57" si="5">ROUNDDOWN(Q5/500*$H$30, 1)*5</f>
        <v>17</v>
      </c>
      <c r="D44" s="158">
        <f t="shared" ref="D44:D56" si="6">C45+0.5</f>
        <v>16.5</v>
      </c>
      <c r="E44" s="170"/>
      <c r="F44" s="153" t="str">
        <f>IF(ABS(SUM($A$43:A44))&gt;1, "ALARM","")</f>
        <v/>
      </c>
      <c r="G44" s="171"/>
    </row>
    <row r="45" spans="1:13" ht="12.75" customHeight="1" x14ac:dyDescent="0.2">
      <c r="A45" s="444"/>
      <c r="B45" s="165" t="str">
        <f>IF(C45&lt;D45,"ALARM!   Breite zu klein", TEXT(C45-D45+0.5,"#0,0")&amp;"                      "&amp;"13   ")</f>
        <v xml:space="preserve">1,0                      13   </v>
      </c>
      <c r="C45" s="161">
        <f t="shared" si="5"/>
        <v>16</v>
      </c>
      <c r="D45" s="161">
        <f t="shared" si="6"/>
        <v>15.5</v>
      </c>
      <c r="E45" s="170"/>
      <c r="F45" s="153" t="str">
        <f>IF(ABS(SUM($A$43:A45))&gt;1, "ALARM","")</f>
        <v/>
      </c>
      <c r="G45" s="171"/>
    </row>
    <row r="46" spans="1:13" ht="12.75" customHeight="1" x14ac:dyDescent="0.2">
      <c r="A46" s="443"/>
      <c r="B46" s="163" t="str">
        <f>IF(C46&lt;D46,"ALARM!   Breite zu klein", TEXT(C46-D46+0.5,"#0,0")&amp;"                      "&amp;"12   ")</f>
        <v xml:space="preserve">1,0                      12   </v>
      </c>
      <c r="C46" s="160">
        <f t="shared" si="5"/>
        <v>15</v>
      </c>
      <c r="D46" s="160">
        <f t="shared" si="6"/>
        <v>14.5</v>
      </c>
      <c r="E46" s="167"/>
      <c r="F46" s="168" t="str">
        <f>IF(ABS(SUM($A$43:A46))&gt;1, "ALARM","")</f>
        <v/>
      </c>
      <c r="G46" s="169"/>
    </row>
    <row r="47" spans="1:13" ht="12.75" customHeight="1" x14ac:dyDescent="0.2">
      <c r="A47" s="443"/>
      <c r="B47" s="164" t="str">
        <f>IF(C47&lt;D47,"ALARM!   Breite zu klein", TEXT(C47-D47+0.5,"#0,0")&amp;"                      "&amp;"11   ")</f>
        <v xml:space="preserve">0,5                      11   </v>
      </c>
      <c r="C47" s="158">
        <f t="shared" si="5"/>
        <v>14</v>
      </c>
      <c r="D47" s="158">
        <f t="shared" si="6"/>
        <v>14</v>
      </c>
      <c r="E47" s="170"/>
      <c r="F47" s="153" t="str">
        <f>IF(ABS(SUM($A$43:A47))&gt;1, "ALARM","")</f>
        <v/>
      </c>
      <c r="G47" s="171"/>
    </row>
    <row r="48" spans="1:13" ht="12.75" customHeight="1" x14ac:dyDescent="0.2">
      <c r="A48" s="443"/>
      <c r="B48" s="165" t="str">
        <f>IF(C48&lt;D48,"ALARM!   Breite zu klein", TEXT(C48-D48+0.5,"#0,0")&amp;"                      "&amp;"10   ")</f>
        <v xml:space="preserve">1,0                      10   </v>
      </c>
      <c r="C48" s="161">
        <f t="shared" si="5"/>
        <v>13.5</v>
      </c>
      <c r="D48" s="161">
        <f t="shared" si="6"/>
        <v>13</v>
      </c>
      <c r="E48" s="170"/>
      <c r="F48" s="153" t="str">
        <f>IF(ABS(SUM($A$43:A48))&gt;1, "ALARM","")</f>
        <v/>
      </c>
      <c r="G48" s="171"/>
    </row>
    <row r="49" spans="1:7" ht="12.75" customHeight="1" x14ac:dyDescent="0.2">
      <c r="A49" s="442"/>
      <c r="B49" s="163" t="str">
        <f>IF(C49&lt;D49,"ALARM!   Breite zu klein", TEXT(C49-D49+0.5,"#0,0")&amp;"                      "&amp;" 9   ")</f>
        <v xml:space="preserve">1,0                       9   </v>
      </c>
      <c r="C49" s="160">
        <f t="shared" si="5"/>
        <v>12.5</v>
      </c>
      <c r="D49" s="160">
        <f t="shared" si="6"/>
        <v>12</v>
      </c>
      <c r="E49" s="167"/>
      <c r="F49" s="168" t="str">
        <f>IF(ABS(SUM($A$43:A49))&gt;1, "ALARM","")</f>
        <v/>
      </c>
      <c r="G49" s="169"/>
    </row>
    <row r="50" spans="1:7" ht="12.75" customHeight="1" x14ac:dyDescent="0.2">
      <c r="A50" s="443"/>
      <c r="B50" s="164" t="str">
        <f>IF(C50&lt;D50,"ALARM!   Breite zu klein", TEXT(C50-D50+0.5,"#0,0")&amp;"                      "&amp;" 8   ")</f>
        <v xml:space="preserve">1,0                       8   </v>
      </c>
      <c r="C50" s="158">
        <f t="shared" si="5"/>
        <v>11.5</v>
      </c>
      <c r="D50" s="158">
        <f t="shared" si="6"/>
        <v>11</v>
      </c>
      <c r="E50" s="170"/>
      <c r="F50" s="153" t="str">
        <f>IF(ABS(SUM($A$43:A50))&gt;1, "ALARM","")</f>
        <v/>
      </c>
      <c r="G50" s="171"/>
    </row>
    <row r="51" spans="1:7" ht="12.75" customHeight="1" x14ac:dyDescent="0.2">
      <c r="A51" s="444"/>
      <c r="B51" s="165" t="str">
        <f>IF(C51&lt;D51,"ALARM!   Breite zu klein", TEXT(C51-D51+0.5,"#0,0")&amp;"                      "&amp;" 7   ")</f>
        <v xml:space="preserve">1,0                       7   </v>
      </c>
      <c r="C51" s="161">
        <f t="shared" si="5"/>
        <v>10.5</v>
      </c>
      <c r="D51" s="161">
        <f t="shared" si="6"/>
        <v>10</v>
      </c>
      <c r="E51" s="170"/>
      <c r="F51" s="153" t="str">
        <f>IF(ABS(SUM($A$43:A51))&gt;1, "ALARM","")</f>
        <v/>
      </c>
      <c r="G51" s="171"/>
    </row>
    <row r="52" spans="1:7" ht="12.75" customHeight="1" x14ac:dyDescent="0.2">
      <c r="A52" s="443"/>
      <c r="B52" s="163" t="str">
        <f>IF(C52&lt;D52,"ALARM!   Breite zu klein", TEXT(C52-D52+0.5,"#0,0")&amp;"                      "&amp;" 6   ")</f>
        <v xml:space="preserve">0,5                       6   </v>
      </c>
      <c r="C52" s="160">
        <f t="shared" si="5"/>
        <v>9.5</v>
      </c>
      <c r="D52" s="160">
        <f t="shared" si="6"/>
        <v>9.5</v>
      </c>
      <c r="E52" s="167"/>
      <c r="F52" s="168" t="str">
        <f>IF(ABS(SUM($A$43:A52))&gt;1, "ALARM","")</f>
        <v/>
      </c>
      <c r="G52" s="169"/>
    </row>
    <row r="53" spans="1:7" ht="12.75" customHeight="1" x14ac:dyDescent="0.2">
      <c r="A53" s="443"/>
      <c r="B53" s="164" t="str">
        <f>IF(C53&lt;D53,"ALARM!   Breite zu klein", TEXT(C53-D53+0.5,"#0,0")&amp;"                      "&amp;" 5   ")</f>
        <v xml:space="preserve">1,0                       5   </v>
      </c>
      <c r="C53" s="158">
        <f t="shared" si="5"/>
        <v>9</v>
      </c>
      <c r="D53" s="158">
        <f t="shared" si="6"/>
        <v>8.5</v>
      </c>
      <c r="E53" s="170"/>
      <c r="F53" s="153" t="str">
        <f>IF(ABS(SUM($A$43:A53))&gt;1, "ALARM","")</f>
        <v/>
      </c>
      <c r="G53" s="171"/>
    </row>
    <row r="54" spans="1:7" ht="12.75" customHeight="1" x14ac:dyDescent="0.2">
      <c r="A54" s="443"/>
      <c r="B54" s="165" t="str">
        <f>IF(C54&lt;D54,"ALARM!   Breite zu klein", TEXT(C54-D54+0.5,"#0,0")&amp;"                      "&amp;" 4   ")</f>
        <v xml:space="preserve">1,0                       4   </v>
      </c>
      <c r="C54" s="161">
        <f t="shared" si="5"/>
        <v>8</v>
      </c>
      <c r="D54" s="161">
        <f t="shared" si="6"/>
        <v>7.5</v>
      </c>
      <c r="E54" s="170"/>
      <c r="F54" s="153" t="str">
        <f>IF(ABS(SUM($A$43:A54))&gt;1, "ALARM","")</f>
        <v/>
      </c>
      <c r="G54" s="171"/>
    </row>
    <row r="55" spans="1:7" ht="12.75" customHeight="1" x14ac:dyDescent="0.2">
      <c r="A55" s="442"/>
      <c r="B55" s="163" t="str">
        <f>IF(C55&lt;D55,"ALARM!   Breite zu klein", TEXT(C55-D55+0.5,"#0,0")&amp;"                      "&amp;" 3   ")</f>
        <v xml:space="preserve">1,0                       3   </v>
      </c>
      <c r="C55" s="160">
        <f t="shared" si="5"/>
        <v>7</v>
      </c>
      <c r="D55" s="160">
        <f t="shared" si="6"/>
        <v>6.5</v>
      </c>
      <c r="E55" s="167"/>
      <c r="F55" s="168" t="str">
        <f>IF(ABS(SUM($A$43:A55))&gt;1, "ALARM","")</f>
        <v/>
      </c>
      <c r="G55" s="169"/>
    </row>
    <row r="56" spans="1:7" ht="12.75" customHeight="1" x14ac:dyDescent="0.2">
      <c r="A56" s="443"/>
      <c r="B56" s="164" t="str">
        <f>IF(C56&lt;D56,"ALARM!   Breite zu klein", TEXT(C56-D56+0.5,"#0,0")&amp;"                      "&amp;" 2   ")</f>
        <v xml:space="preserve">1,5                       2   </v>
      </c>
      <c r="C56" s="158">
        <f t="shared" si="5"/>
        <v>6</v>
      </c>
      <c r="D56" s="158">
        <f t="shared" si="6"/>
        <v>5</v>
      </c>
      <c r="E56" s="170"/>
      <c r="F56" s="153" t="str">
        <f>IF(ABS(SUM($A$43:A56))&gt;1, "ALARM","")</f>
        <v/>
      </c>
      <c r="G56" s="171"/>
    </row>
    <row r="57" spans="1:7" ht="12.75" customHeight="1" x14ac:dyDescent="0.2">
      <c r="A57" s="444"/>
      <c r="B57" s="165" t="str">
        <f>IF(C57&lt;D57,"ALARM!   Breite zu klein", TEXT(C57-D57+0.5,"#0,0")&amp;"                      "&amp;" 1   ")</f>
        <v xml:space="preserve">1,0                       1   </v>
      </c>
      <c r="C57" s="161">
        <f t="shared" si="5"/>
        <v>4.5</v>
      </c>
      <c r="D57" s="161">
        <f>ROUNDUP(H34/500*$H$30,1)*5</f>
        <v>3.9999999999999996</v>
      </c>
      <c r="E57" s="172"/>
      <c r="F57" s="153" t="str">
        <f>IF(ABS(SUM($A$43:A57))&gt;1, "ALARM","")</f>
        <v/>
      </c>
      <c r="G57" s="173"/>
    </row>
    <row r="58" spans="1:7" ht="12.75" customHeight="1" thickBot="1" x14ac:dyDescent="0.25">
      <c r="A58" s="445"/>
      <c r="B58" s="163" t="str">
        <f>IF(C58&lt;D58,"ALARM!   Breite zu klein", TEXT(C58-D58+0.5,"#0,0")&amp;"                      "&amp;" 0   ")</f>
        <v xml:space="preserve">4,0                       0   </v>
      </c>
      <c r="C58" s="159">
        <f>D57-0.5</f>
        <v>3.4999999999999996</v>
      </c>
      <c r="D58" s="162">
        <v>0</v>
      </c>
      <c r="E58" s="174"/>
      <c r="F58" s="174" t="str">
        <f>IF(ABS(SUM($A$43:A58))&gt;1, "ALARM","")</f>
        <v/>
      </c>
      <c r="G58" s="175"/>
    </row>
    <row r="59" spans="1:7" x14ac:dyDescent="0.2">
      <c r="B59" s="166"/>
    </row>
  </sheetData>
  <sheetProtection algorithmName="SHA-512" hashValue="mwRzQvTRgnfMZXUl/NiHaWulovm1E7w0VxuBasVD/p8EpsyJw4qopqBsaauySdIggpYXcB5wPrQZTHenSEN2Hw==" saltValue="0kbHDFr0hiqjh4q6/iRy9g=="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59" priority="1" operator="equal">
      <formula>"ALARM!   Breite zu klein"</formula>
    </cfRule>
  </conditionalFormatting>
  <conditionalFormatting sqref="D4:D38">
    <cfRule type="expression" dxfId="58" priority="3" stopIfTrue="1">
      <formula>$H$3="Punkte"</formula>
    </cfRule>
    <cfRule type="expression" dxfId="57" priority="4" stopIfTrue="1">
      <formula>$H$3="BE"</formula>
    </cfRule>
  </conditionalFormatting>
  <conditionalFormatting sqref="F43:F58">
    <cfRule type="cellIs" dxfId="56" priority="2" operator="equal">
      <formula>"ALARM"</formula>
    </cfRule>
  </conditionalFormatting>
  <dataValidations count="2">
    <dataValidation type="list" allowBlank="1" showInputMessage="1" showErrorMessage="1" sqref="H3" xr:uid="{00000000-0002-0000-0C00-000000000000}">
      <formula1>"BE,Punkte"</formula1>
    </dataValidation>
    <dataValidation type="list" allowBlank="1" showInputMessage="1" showErrorMessage="1" sqref="H32" xr:uid="{00000000-0002-0000-0C00-000001000000}">
      <formula1>"E,M"</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5">
    <tabColor rgb="FF66FF33"/>
  </sheetPr>
  <dimension ref="A1:R59"/>
  <sheetViews>
    <sheetView showGridLines="0" zoomScale="115" zoomScaleNormal="115" workbookViewId="0"/>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75</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f>IF('2. Halbjahr'!K1="","",'2. Halbjahr'!K1)</f>
        <v>0</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12</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12</v>
      </c>
      <c r="D43" s="160">
        <f>C44+0.5</f>
        <v>11.5</v>
      </c>
      <c r="E43" s="167"/>
      <c r="F43" s="168" t="str">
        <f>IF(ABS(SUM($A$43:A43))&gt;1, "ALARM","")</f>
        <v/>
      </c>
      <c r="G43" s="169"/>
    </row>
    <row r="44" spans="1:13" ht="12.75" customHeight="1" x14ac:dyDescent="0.2">
      <c r="A44" s="443"/>
      <c r="B44" s="164" t="str">
        <f>IF(C44&lt;D44,"ALARM!   Breite zu klein", TEXT(C44-D44+0.5,"#0,0")&amp;"                      "&amp;"14   ")</f>
        <v xml:space="preserve">0,5                      14   </v>
      </c>
      <c r="C44" s="158">
        <f t="shared" ref="C44:C57" si="5">ROUNDDOWN(Q5/500*$H$30, 1)*5</f>
        <v>11</v>
      </c>
      <c r="D44" s="158">
        <f t="shared" ref="D44:D56" si="6">C45+0.5</f>
        <v>11</v>
      </c>
      <c r="E44" s="170"/>
      <c r="F44" s="153" t="str">
        <f>IF(ABS(SUM($A$43:A44))&gt;1, "ALARM","")</f>
        <v/>
      </c>
      <c r="G44" s="171"/>
    </row>
    <row r="45" spans="1:13" ht="12.75" customHeight="1" x14ac:dyDescent="0.2">
      <c r="A45" s="444"/>
      <c r="B45" s="165" t="str">
        <f>IF(C45&lt;D45,"ALARM!   Breite zu klein", TEXT(C45-D45+0.5,"#0,0")&amp;"                      "&amp;"13   ")</f>
        <v xml:space="preserve">0,5                      13   </v>
      </c>
      <c r="C45" s="161">
        <f t="shared" si="5"/>
        <v>10.5</v>
      </c>
      <c r="D45" s="161">
        <f t="shared" si="6"/>
        <v>10.5</v>
      </c>
      <c r="E45" s="170"/>
      <c r="F45" s="153" t="str">
        <f>IF(ABS(SUM($A$43:A45))&gt;1, "ALARM","")</f>
        <v/>
      </c>
      <c r="G45" s="171"/>
    </row>
    <row r="46" spans="1:13" ht="12.75" customHeight="1" x14ac:dyDescent="0.2">
      <c r="A46" s="443"/>
      <c r="B46" s="163" t="str">
        <f>IF(C46&lt;D46,"ALARM!   Breite zu klein", TEXT(C46-D46+0.5,"#0,0")&amp;"                      "&amp;"12   ")</f>
        <v xml:space="preserve">0,5                      12   </v>
      </c>
      <c r="C46" s="160">
        <f t="shared" si="5"/>
        <v>10</v>
      </c>
      <c r="D46" s="160">
        <f t="shared" si="6"/>
        <v>10</v>
      </c>
      <c r="E46" s="167"/>
      <c r="F46" s="168" t="str">
        <f>IF(ABS(SUM($A$43:A46))&gt;1, "ALARM","")</f>
        <v/>
      </c>
      <c r="G46" s="169"/>
    </row>
    <row r="47" spans="1:13" ht="12.75" customHeight="1" x14ac:dyDescent="0.2">
      <c r="A47" s="443"/>
      <c r="B47" s="164" t="str">
        <f>IF(C47&lt;D47,"ALARM!   Breite zu klein", TEXT(C47-D47+0.5,"#0,0")&amp;"                      "&amp;"11   ")</f>
        <v xml:space="preserve">0,5                      11   </v>
      </c>
      <c r="C47" s="158">
        <f t="shared" si="5"/>
        <v>9.5</v>
      </c>
      <c r="D47" s="158">
        <f t="shared" si="6"/>
        <v>9.5</v>
      </c>
      <c r="E47" s="170"/>
      <c r="F47" s="153" t="str">
        <f>IF(ABS(SUM($A$43:A47))&gt;1, "ALARM","")</f>
        <v/>
      </c>
      <c r="G47" s="171"/>
    </row>
    <row r="48" spans="1:13" ht="12.75" customHeight="1" x14ac:dyDescent="0.2">
      <c r="A48" s="443"/>
      <c r="B48" s="165" t="str">
        <f>IF(C48&lt;D48,"ALARM!   Breite zu klein", TEXT(C48-D48+0.5,"#0,0")&amp;"                      "&amp;"10   ")</f>
        <v xml:space="preserve">1,0                      10   </v>
      </c>
      <c r="C48" s="161">
        <f t="shared" si="5"/>
        <v>9</v>
      </c>
      <c r="D48" s="161">
        <f t="shared" si="6"/>
        <v>8.5</v>
      </c>
      <c r="E48" s="170"/>
      <c r="F48" s="153" t="str">
        <f>IF(ABS(SUM($A$43:A48))&gt;1, "ALARM","")</f>
        <v/>
      </c>
      <c r="G48" s="171"/>
    </row>
    <row r="49" spans="1:7" ht="12.75" customHeight="1" x14ac:dyDescent="0.2">
      <c r="A49" s="442"/>
      <c r="B49" s="163" t="str">
        <f>IF(C49&lt;D49,"ALARM!   Breite zu klein", TEXT(C49-D49+0.5,"#0,0")&amp;"                      "&amp;" 9   ")</f>
        <v xml:space="preserve">0,5                       9   </v>
      </c>
      <c r="C49" s="160">
        <f t="shared" si="5"/>
        <v>8</v>
      </c>
      <c r="D49" s="160">
        <f t="shared" si="6"/>
        <v>8</v>
      </c>
      <c r="E49" s="167"/>
      <c r="F49" s="168" t="str">
        <f>IF(ABS(SUM($A$43:A49))&gt;1, "ALARM","")</f>
        <v/>
      </c>
      <c r="G49" s="169"/>
    </row>
    <row r="50" spans="1:7" ht="12.75" customHeight="1" x14ac:dyDescent="0.2">
      <c r="A50" s="443"/>
      <c r="B50" s="164" t="str">
        <f>IF(C50&lt;D50,"ALARM!   Breite zu klein", TEXT(C50-D50+0.5,"#0,0")&amp;"                      "&amp;" 8   ")</f>
        <v xml:space="preserve">0,5                       8   </v>
      </c>
      <c r="C50" s="158">
        <f t="shared" si="5"/>
        <v>7.5</v>
      </c>
      <c r="D50" s="158">
        <f t="shared" si="6"/>
        <v>7.5</v>
      </c>
      <c r="E50" s="170"/>
      <c r="F50" s="153" t="str">
        <f>IF(ABS(SUM($A$43:A50))&gt;1, "ALARM","")</f>
        <v/>
      </c>
      <c r="G50" s="171"/>
    </row>
    <row r="51" spans="1:7" ht="12.75" customHeight="1" x14ac:dyDescent="0.2">
      <c r="A51" s="444"/>
      <c r="B51" s="165" t="str">
        <f>IF(C51&lt;D51,"ALARM!   Breite zu klein", TEXT(C51-D51+0.5,"#0,0")&amp;"                      "&amp;" 7   ")</f>
        <v xml:space="preserve">0,5                       7   </v>
      </c>
      <c r="C51" s="161">
        <f t="shared" si="5"/>
        <v>7</v>
      </c>
      <c r="D51" s="161">
        <f t="shared" si="6"/>
        <v>7</v>
      </c>
      <c r="E51" s="170"/>
      <c r="F51" s="153" t="str">
        <f>IF(ABS(SUM($A$43:A51))&gt;1, "ALARM","")</f>
        <v/>
      </c>
      <c r="G51" s="171"/>
    </row>
    <row r="52" spans="1:7" ht="12.75" customHeight="1" x14ac:dyDescent="0.2">
      <c r="A52" s="443"/>
      <c r="B52" s="163" t="str">
        <f>IF(C52&lt;D52,"ALARM!   Breite zu klein", TEXT(C52-D52+0.5,"#0,0")&amp;"                      "&amp;" 6   ")</f>
        <v xml:space="preserve">0,5                       6   </v>
      </c>
      <c r="C52" s="160">
        <f t="shared" si="5"/>
        <v>6.5</v>
      </c>
      <c r="D52" s="160">
        <f t="shared" si="6"/>
        <v>6.5</v>
      </c>
      <c r="E52" s="167"/>
      <c r="F52" s="168" t="str">
        <f>IF(ABS(SUM($A$43:A52))&gt;1, "ALARM","")</f>
        <v/>
      </c>
      <c r="G52" s="169"/>
    </row>
    <row r="53" spans="1:7" ht="12.75" customHeight="1" x14ac:dyDescent="0.2">
      <c r="A53" s="443"/>
      <c r="B53" s="164" t="str">
        <f>IF(C53&lt;D53,"ALARM!   Breite zu klein", TEXT(C53-D53+0.5,"#0,0")&amp;"                      "&amp;" 5   ")</f>
        <v xml:space="preserve">1,0                       5   </v>
      </c>
      <c r="C53" s="158">
        <f t="shared" si="5"/>
        <v>6</v>
      </c>
      <c r="D53" s="158">
        <f t="shared" si="6"/>
        <v>5.5</v>
      </c>
      <c r="E53" s="170"/>
      <c r="F53" s="153" t="str">
        <f>IF(ABS(SUM($A$43:A53))&gt;1, "ALARM","")</f>
        <v/>
      </c>
      <c r="G53" s="171"/>
    </row>
    <row r="54" spans="1:7" ht="12.75" customHeight="1" x14ac:dyDescent="0.2">
      <c r="A54" s="443"/>
      <c r="B54" s="165" t="str">
        <f>IF(C54&lt;D54,"ALARM!   Breite zu klein", TEXT(C54-D54+0.5,"#0,0")&amp;"                      "&amp;" 4   ")</f>
        <v xml:space="preserve">0,5                       4   </v>
      </c>
      <c r="C54" s="161">
        <f t="shared" si="5"/>
        <v>5</v>
      </c>
      <c r="D54" s="161">
        <f t="shared" si="6"/>
        <v>5</v>
      </c>
      <c r="E54" s="170"/>
      <c r="F54" s="153" t="str">
        <f>IF(ABS(SUM($A$43:A54))&gt;1, "ALARM","")</f>
        <v/>
      </c>
      <c r="G54" s="171"/>
    </row>
    <row r="55" spans="1:7" ht="12.75" customHeight="1" x14ac:dyDescent="0.2">
      <c r="A55" s="442"/>
      <c r="B55" s="163" t="str">
        <f>IF(C55&lt;D55,"ALARM!   Breite zu klein", TEXT(C55-D55+0.5,"#0,0")&amp;"                      "&amp;" 3   ")</f>
        <v xml:space="preserve">0,5                       3   </v>
      </c>
      <c r="C55" s="160">
        <f t="shared" si="5"/>
        <v>4.5</v>
      </c>
      <c r="D55" s="160">
        <f t="shared" si="6"/>
        <v>4.5</v>
      </c>
      <c r="E55" s="167"/>
      <c r="F55" s="168" t="str">
        <f>IF(ABS(SUM($A$43:A55))&gt;1, "ALARM","")</f>
        <v/>
      </c>
      <c r="G55" s="169"/>
    </row>
    <row r="56" spans="1:7" ht="12.75" customHeight="1" x14ac:dyDescent="0.2">
      <c r="A56" s="443"/>
      <c r="B56" s="164" t="str">
        <f>IF(C56&lt;D56,"ALARM!   Breite zu klein", TEXT(C56-D56+0.5,"#0,0")&amp;"                      "&amp;" 2   ")</f>
        <v xml:space="preserve">1,0                       2   </v>
      </c>
      <c r="C56" s="158">
        <f t="shared" si="5"/>
        <v>4</v>
      </c>
      <c r="D56" s="158">
        <f t="shared" si="6"/>
        <v>3.5</v>
      </c>
      <c r="E56" s="170"/>
      <c r="F56" s="153" t="str">
        <f>IF(ABS(SUM($A$43:A56))&gt;1, "ALARM","")</f>
        <v/>
      </c>
      <c r="G56" s="171"/>
    </row>
    <row r="57" spans="1:7" ht="12.75" customHeight="1" x14ac:dyDescent="0.2">
      <c r="A57" s="444"/>
      <c r="B57" s="165" t="str">
        <f>IF(C57&lt;D57,"ALARM!   Breite zu klein", TEXT(C57-D57+0.5,"#0,0")&amp;"                      "&amp;" 1   ")</f>
        <v xml:space="preserve">1,0                       1   </v>
      </c>
      <c r="C57" s="161">
        <f t="shared" si="5"/>
        <v>3</v>
      </c>
      <c r="D57" s="161">
        <f>ROUNDUP(H34/500*$H$30,1)*5</f>
        <v>2.5</v>
      </c>
      <c r="E57" s="172"/>
      <c r="F57" s="153" t="str">
        <f>IF(ABS(SUM($A$43:A57))&gt;1, "ALARM","")</f>
        <v/>
      </c>
      <c r="G57" s="173"/>
    </row>
    <row r="58" spans="1:7" ht="12.75" customHeight="1" thickBot="1" x14ac:dyDescent="0.25">
      <c r="A58" s="445"/>
      <c r="B58" s="163" t="str">
        <f>IF(C58&lt;D58,"ALARM!   Breite zu klein", TEXT(C58-D58+0.5,"#0,0")&amp;"                      "&amp;" 0   ")</f>
        <v xml:space="preserve">2,5                       0   </v>
      </c>
      <c r="C58" s="159">
        <f>D57-0.5</f>
        <v>2</v>
      </c>
      <c r="D58" s="162">
        <v>0</v>
      </c>
      <c r="E58" s="174"/>
      <c r="F58" s="174" t="str">
        <f>IF(ABS(SUM($A$43:A58))&gt;1, "ALARM","")</f>
        <v/>
      </c>
      <c r="G58" s="175"/>
    </row>
    <row r="59" spans="1:7" x14ac:dyDescent="0.2">
      <c r="B59" s="166"/>
    </row>
  </sheetData>
  <sheetProtection algorithmName="SHA-512" hashValue="0h8WKoQgH+xhqZxnjHbn4buQ9rpk8+6DVoLKlHdAnLCE372sWz+yDdKagef36W7EEkjIFUJKmHhW5KqDjAXB1A==" saltValue="9KI67+lyVOzFgB93ZFjX8A=="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55" priority="1" operator="equal">
      <formula>"ALARM!   Breite zu klein"</formula>
    </cfRule>
  </conditionalFormatting>
  <conditionalFormatting sqref="D4:D38">
    <cfRule type="expression" dxfId="54" priority="3" stopIfTrue="1">
      <formula>$H$3="Punkte"</formula>
    </cfRule>
    <cfRule type="expression" dxfId="53" priority="4" stopIfTrue="1">
      <formula>$H$3="BE"</formula>
    </cfRule>
  </conditionalFormatting>
  <conditionalFormatting sqref="F43:F58">
    <cfRule type="cellIs" dxfId="52" priority="2" operator="equal">
      <formula>"ALARM"</formula>
    </cfRule>
  </conditionalFormatting>
  <dataValidations count="2">
    <dataValidation type="list" allowBlank="1" showInputMessage="1" showErrorMessage="1" sqref="H3" xr:uid="{00000000-0002-0000-0D00-000000000000}">
      <formula1>"BE,Punkte"</formula1>
    </dataValidation>
    <dataValidation type="list" allowBlank="1" showInputMessage="1" showErrorMessage="1" sqref="H32" xr:uid="{00000000-0002-0000-0D00-000001000000}">
      <formula1>"E,M"</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6">
    <tabColor rgb="FF66FF33"/>
  </sheetPr>
  <dimension ref="A1:R59"/>
  <sheetViews>
    <sheetView showGridLines="0" zoomScale="115" zoomScaleNormal="115" workbookViewId="0">
      <selection activeCell="T47" sqref="T47"/>
    </sheetView>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76</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f>IF('2. Halbjahr'!K1="","",'2. Halbjahr'!K1)</f>
        <v>0</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12</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12</v>
      </c>
      <c r="D43" s="160">
        <f>C44+0.5</f>
        <v>11.5</v>
      </c>
      <c r="E43" s="167"/>
      <c r="F43" s="168" t="str">
        <f>IF(ABS(SUM($A$43:A43))&gt;1, "ALARM","")</f>
        <v/>
      </c>
      <c r="G43" s="169"/>
    </row>
    <row r="44" spans="1:13" ht="12.75" customHeight="1" x14ac:dyDescent="0.2">
      <c r="A44" s="443"/>
      <c r="B44" s="164" t="str">
        <f>IF(C44&lt;D44,"ALARM!   Breite zu klein", TEXT(C44-D44+0.5,"#0,0")&amp;"                      "&amp;"14   ")</f>
        <v xml:space="preserve">0,5                      14   </v>
      </c>
      <c r="C44" s="158">
        <f t="shared" ref="C44:C57" si="5">ROUNDDOWN(Q5/500*$H$30, 1)*5</f>
        <v>11</v>
      </c>
      <c r="D44" s="158">
        <f t="shared" ref="D44:D56" si="6">C45+0.5</f>
        <v>11</v>
      </c>
      <c r="E44" s="170"/>
      <c r="F44" s="153" t="str">
        <f>IF(ABS(SUM($A$43:A44))&gt;1, "ALARM","")</f>
        <v/>
      </c>
      <c r="G44" s="171"/>
    </row>
    <row r="45" spans="1:13" ht="12.75" customHeight="1" x14ac:dyDescent="0.2">
      <c r="A45" s="444"/>
      <c r="B45" s="165" t="str">
        <f>IF(C45&lt;D45,"ALARM!   Breite zu klein", TEXT(C45-D45+0.5,"#0,0")&amp;"                      "&amp;"13   ")</f>
        <v xml:space="preserve">0,5                      13   </v>
      </c>
      <c r="C45" s="161">
        <f t="shared" si="5"/>
        <v>10.5</v>
      </c>
      <c r="D45" s="161">
        <f t="shared" si="6"/>
        <v>10.5</v>
      </c>
      <c r="E45" s="170"/>
      <c r="F45" s="153" t="str">
        <f>IF(ABS(SUM($A$43:A45))&gt;1, "ALARM","")</f>
        <v/>
      </c>
      <c r="G45" s="171"/>
    </row>
    <row r="46" spans="1:13" ht="12.75" customHeight="1" x14ac:dyDescent="0.2">
      <c r="A46" s="443"/>
      <c r="B46" s="163" t="str">
        <f>IF(C46&lt;D46,"ALARM!   Breite zu klein", TEXT(C46-D46+0.5,"#0,0")&amp;"                      "&amp;"12   ")</f>
        <v xml:space="preserve">0,5                      12   </v>
      </c>
      <c r="C46" s="160">
        <f t="shared" si="5"/>
        <v>10</v>
      </c>
      <c r="D46" s="160">
        <f t="shared" si="6"/>
        <v>10</v>
      </c>
      <c r="E46" s="167"/>
      <c r="F46" s="168" t="str">
        <f>IF(ABS(SUM($A$43:A46))&gt;1, "ALARM","")</f>
        <v/>
      </c>
      <c r="G46" s="169"/>
    </row>
    <row r="47" spans="1:13" ht="12.75" customHeight="1" x14ac:dyDescent="0.2">
      <c r="A47" s="443"/>
      <c r="B47" s="164" t="str">
        <f>IF(C47&lt;D47,"ALARM!   Breite zu klein", TEXT(C47-D47+0.5,"#0,0")&amp;"                      "&amp;"11   ")</f>
        <v xml:space="preserve">0,5                      11   </v>
      </c>
      <c r="C47" s="158">
        <f t="shared" si="5"/>
        <v>9.5</v>
      </c>
      <c r="D47" s="158">
        <f t="shared" si="6"/>
        <v>9.5</v>
      </c>
      <c r="E47" s="170"/>
      <c r="F47" s="153" t="str">
        <f>IF(ABS(SUM($A$43:A47))&gt;1, "ALARM","")</f>
        <v/>
      </c>
      <c r="G47" s="171"/>
    </row>
    <row r="48" spans="1:13" ht="12.75" customHeight="1" x14ac:dyDescent="0.2">
      <c r="A48" s="443"/>
      <c r="B48" s="165" t="str">
        <f>IF(C48&lt;D48,"ALARM!   Breite zu klein", TEXT(C48-D48+0.5,"#0,0")&amp;"                      "&amp;"10   ")</f>
        <v xml:space="preserve">1,0                      10   </v>
      </c>
      <c r="C48" s="161">
        <f t="shared" si="5"/>
        <v>9</v>
      </c>
      <c r="D48" s="161">
        <f t="shared" si="6"/>
        <v>8.5</v>
      </c>
      <c r="E48" s="170"/>
      <c r="F48" s="153" t="str">
        <f>IF(ABS(SUM($A$43:A48))&gt;1, "ALARM","")</f>
        <v/>
      </c>
      <c r="G48" s="171"/>
    </row>
    <row r="49" spans="1:7" ht="12.75" customHeight="1" x14ac:dyDescent="0.2">
      <c r="A49" s="442"/>
      <c r="B49" s="163" t="str">
        <f>IF(C49&lt;D49,"ALARM!   Breite zu klein", TEXT(C49-D49+0.5,"#0,0")&amp;"                      "&amp;" 9   ")</f>
        <v xml:space="preserve">0,5                       9   </v>
      </c>
      <c r="C49" s="160">
        <f t="shared" si="5"/>
        <v>8</v>
      </c>
      <c r="D49" s="160">
        <f t="shared" si="6"/>
        <v>8</v>
      </c>
      <c r="E49" s="167"/>
      <c r="F49" s="168" t="str">
        <f>IF(ABS(SUM($A$43:A49))&gt;1, "ALARM","")</f>
        <v/>
      </c>
      <c r="G49" s="169"/>
    </row>
    <row r="50" spans="1:7" ht="12.75" customHeight="1" x14ac:dyDescent="0.2">
      <c r="A50" s="443"/>
      <c r="B50" s="164" t="str">
        <f>IF(C50&lt;D50,"ALARM!   Breite zu klein", TEXT(C50-D50+0.5,"#0,0")&amp;"                      "&amp;" 8   ")</f>
        <v xml:space="preserve">0,5                       8   </v>
      </c>
      <c r="C50" s="158">
        <f t="shared" si="5"/>
        <v>7.5</v>
      </c>
      <c r="D50" s="158">
        <f t="shared" si="6"/>
        <v>7.5</v>
      </c>
      <c r="E50" s="170"/>
      <c r="F50" s="153" t="str">
        <f>IF(ABS(SUM($A$43:A50))&gt;1, "ALARM","")</f>
        <v/>
      </c>
      <c r="G50" s="171"/>
    </row>
    <row r="51" spans="1:7" ht="12.75" customHeight="1" x14ac:dyDescent="0.2">
      <c r="A51" s="444"/>
      <c r="B51" s="165" t="str">
        <f>IF(C51&lt;D51,"ALARM!   Breite zu klein", TEXT(C51-D51+0.5,"#0,0")&amp;"                      "&amp;" 7   ")</f>
        <v xml:space="preserve">0,5                       7   </v>
      </c>
      <c r="C51" s="161">
        <f t="shared" si="5"/>
        <v>7</v>
      </c>
      <c r="D51" s="161">
        <f t="shared" si="6"/>
        <v>7</v>
      </c>
      <c r="E51" s="170"/>
      <c r="F51" s="153" t="str">
        <f>IF(ABS(SUM($A$43:A51))&gt;1, "ALARM","")</f>
        <v/>
      </c>
      <c r="G51" s="171"/>
    </row>
    <row r="52" spans="1:7" ht="12.75" customHeight="1" x14ac:dyDescent="0.2">
      <c r="A52" s="443"/>
      <c r="B52" s="163" t="str">
        <f>IF(C52&lt;D52,"ALARM!   Breite zu klein", TEXT(C52-D52+0.5,"#0,0")&amp;"                      "&amp;" 6   ")</f>
        <v xml:space="preserve">0,5                       6   </v>
      </c>
      <c r="C52" s="160">
        <f t="shared" si="5"/>
        <v>6.5</v>
      </c>
      <c r="D52" s="160">
        <f t="shared" si="6"/>
        <v>6.5</v>
      </c>
      <c r="E52" s="167"/>
      <c r="F52" s="168" t="str">
        <f>IF(ABS(SUM($A$43:A52))&gt;1, "ALARM","")</f>
        <v/>
      </c>
      <c r="G52" s="169"/>
    </row>
    <row r="53" spans="1:7" ht="12.75" customHeight="1" x14ac:dyDescent="0.2">
      <c r="A53" s="443"/>
      <c r="B53" s="164" t="str">
        <f>IF(C53&lt;D53,"ALARM!   Breite zu klein", TEXT(C53-D53+0.5,"#0,0")&amp;"                      "&amp;" 5   ")</f>
        <v xml:space="preserve">1,0                       5   </v>
      </c>
      <c r="C53" s="158">
        <f t="shared" si="5"/>
        <v>6</v>
      </c>
      <c r="D53" s="158">
        <f t="shared" si="6"/>
        <v>5.5</v>
      </c>
      <c r="E53" s="170"/>
      <c r="F53" s="153" t="str">
        <f>IF(ABS(SUM($A$43:A53))&gt;1, "ALARM","")</f>
        <v/>
      </c>
      <c r="G53" s="171"/>
    </row>
    <row r="54" spans="1:7" ht="12.75" customHeight="1" x14ac:dyDescent="0.2">
      <c r="A54" s="443"/>
      <c r="B54" s="165" t="str">
        <f>IF(C54&lt;D54,"ALARM!   Breite zu klein", TEXT(C54-D54+0.5,"#0,0")&amp;"                      "&amp;" 4   ")</f>
        <v xml:space="preserve">0,5                       4   </v>
      </c>
      <c r="C54" s="161">
        <f t="shared" si="5"/>
        <v>5</v>
      </c>
      <c r="D54" s="161">
        <f t="shared" si="6"/>
        <v>5</v>
      </c>
      <c r="E54" s="170"/>
      <c r="F54" s="153" t="str">
        <f>IF(ABS(SUM($A$43:A54))&gt;1, "ALARM","")</f>
        <v/>
      </c>
      <c r="G54" s="171"/>
    </row>
    <row r="55" spans="1:7" ht="12.75" customHeight="1" x14ac:dyDescent="0.2">
      <c r="A55" s="442"/>
      <c r="B55" s="163" t="str">
        <f>IF(C55&lt;D55,"ALARM!   Breite zu klein", TEXT(C55-D55+0.5,"#0,0")&amp;"                      "&amp;" 3   ")</f>
        <v xml:space="preserve">0,5                       3   </v>
      </c>
      <c r="C55" s="160">
        <f t="shared" si="5"/>
        <v>4.5</v>
      </c>
      <c r="D55" s="160">
        <f t="shared" si="6"/>
        <v>4.5</v>
      </c>
      <c r="E55" s="167"/>
      <c r="F55" s="168" t="str">
        <f>IF(ABS(SUM($A$43:A55))&gt;1, "ALARM","")</f>
        <v/>
      </c>
      <c r="G55" s="169"/>
    </row>
    <row r="56" spans="1:7" ht="12.75" customHeight="1" x14ac:dyDescent="0.2">
      <c r="A56" s="443"/>
      <c r="B56" s="164" t="str">
        <f>IF(C56&lt;D56,"ALARM!   Breite zu klein", TEXT(C56-D56+0.5,"#0,0")&amp;"                      "&amp;" 2   ")</f>
        <v xml:space="preserve">1,0                       2   </v>
      </c>
      <c r="C56" s="158">
        <f t="shared" si="5"/>
        <v>4</v>
      </c>
      <c r="D56" s="158">
        <f t="shared" si="6"/>
        <v>3.5</v>
      </c>
      <c r="E56" s="170"/>
      <c r="F56" s="153" t="str">
        <f>IF(ABS(SUM($A$43:A56))&gt;1, "ALARM","")</f>
        <v/>
      </c>
      <c r="G56" s="171"/>
    </row>
    <row r="57" spans="1:7" ht="12.75" customHeight="1" x14ac:dyDescent="0.2">
      <c r="A57" s="444"/>
      <c r="B57" s="165" t="str">
        <f>IF(C57&lt;D57,"ALARM!   Breite zu klein", TEXT(C57-D57+0.5,"#0,0")&amp;"                      "&amp;" 1   ")</f>
        <v xml:space="preserve">1,0                       1   </v>
      </c>
      <c r="C57" s="161">
        <f t="shared" si="5"/>
        <v>3</v>
      </c>
      <c r="D57" s="161">
        <f>ROUNDUP(H34/500*$H$30,1)*5</f>
        <v>2.5</v>
      </c>
      <c r="E57" s="172"/>
      <c r="F57" s="153" t="str">
        <f>IF(ABS(SUM($A$43:A57))&gt;1, "ALARM","")</f>
        <v/>
      </c>
      <c r="G57" s="173"/>
    </row>
    <row r="58" spans="1:7" ht="12.75" customHeight="1" thickBot="1" x14ac:dyDescent="0.25">
      <c r="A58" s="445"/>
      <c r="B58" s="163" t="str">
        <f>IF(C58&lt;D58,"ALARM!   Breite zu klein", TEXT(C58-D58+0.5,"#0,0")&amp;"                      "&amp;" 0   ")</f>
        <v xml:space="preserve">2,5                       0   </v>
      </c>
      <c r="C58" s="159">
        <f>D57-0.5</f>
        <v>2</v>
      </c>
      <c r="D58" s="162">
        <v>0</v>
      </c>
      <c r="E58" s="174"/>
      <c r="F58" s="174" t="str">
        <f>IF(ABS(SUM($A$43:A58))&gt;1, "ALARM","")</f>
        <v/>
      </c>
      <c r="G58" s="175"/>
    </row>
    <row r="59" spans="1:7" x14ac:dyDescent="0.2">
      <c r="B59" s="166"/>
    </row>
  </sheetData>
  <sheetProtection algorithmName="SHA-512" hashValue="6lO670WRgFQ3bKdGg/PE5Dy857aKYnadru3py0BN6QhVwk7c26cMUgg2iOrjKvmWGkHofum9EbvSlSb2779QAw==" saltValue="gFWnWidkjx0Pf5+vJ0UWBw=="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51" priority="1" operator="equal">
      <formula>"ALARM!   Breite zu klein"</formula>
    </cfRule>
  </conditionalFormatting>
  <conditionalFormatting sqref="D4:D38">
    <cfRule type="expression" dxfId="50" priority="3" stopIfTrue="1">
      <formula>$H$3="Punkte"</formula>
    </cfRule>
    <cfRule type="expression" dxfId="49" priority="4" stopIfTrue="1">
      <formula>$H$3="BE"</formula>
    </cfRule>
  </conditionalFormatting>
  <conditionalFormatting sqref="F43:F58">
    <cfRule type="cellIs" dxfId="48" priority="2" operator="equal">
      <formula>"ALARM"</formula>
    </cfRule>
  </conditionalFormatting>
  <dataValidations disablePrompts="1" count="2">
    <dataValidation type="list" allowBlank="1" showInputMessage="1" showErrorMessage="1" sqref="H32" xr:uid="{00000000-0002-0000-0E00-000000000000}">
      <formula1>"E,M"</formula1>
    </dataValidation>
    <dataValidation type="list" allowBlank="1" showInputMessage="1" showErrorMessage="1" sqref="H3" xr:uid="{00000000-0002-0000-0E00-000001000000}">
      <formula1>"BE,Punkte"</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7">
    <tabColor rgb="FF66FF33"/>
  </sheetPr>
  <dimension ref="A1:R59"/>
  <sheetViews>
    <sheetView showGridLines="0" zoomScale="115" zoomScaleNormal="115" workbookViewId="0">
      <selection activeCell="T47" sqref="T47"/>
    </sheetView>
  </sheetViews>
  <sheetFormatPr baseColWidth="10" defaultRowHeight="12.75" x14ac:dyDescent="0.2"/>
  <cols>
    <col min="1" max="1" width="4.5703125" customWidth="1"/>
    <col min="2" max="2" width="28" customWidth="1"/>
    <col min="3" max="3" width="8.5703125" customWidth="1"/>
    <col min="4" max="4" width="6.5703125" customWidth="1"/>
    <col min="5" max="5" width="7.7109375" customWidth="1"/>
    <col min="6" max="6" width="8.42578125" customWidth="1"/>
    <col min="7" max="7" width="9" customWidth="1"/>
    <col min="8" max="8" width="9.5703125" customWidth="1"/>
    <col min="9" max="9" width="6.140625" customWidth="1"/>
    <col min="10" max="10" width="4" customWidth="1"/>
    <col min="11" max="11" width="3.5703125" customWidth="1"/>
    <col min="12" max="12" width="8.7109375" hidden="1" customWidth="1"/>
    <col min="13" max="17" width="11.42578125" hidden="1" customWidth="1"/>
    <col min="18" max="18" width="10.5703125" hidden="1" customWidth="1"/>
    <col min="19" max="19" width="9.85546875" bestFit="1" customWidth="1"/>
    <col min="22" max="22" width="5.140625" customWidth="1"/>
    <col min="24" max="24" width="12" customWidth="1"/>
    <col min="28" max="28" width="1.42578125" customWidth="1"/>
    <col min="34" max="34" width="0.85546875" customWidth="1"/>
  </cols>
  <sheetData>
    <row r="1" spans="1:18" ht="15" x14ac:dyDescent="0.25">
      <c r="A1" s="1"/>
      <c r="B1" s="39" t="s">
        <v>77</v>
      </c>
      <c r="C1" s="466" t="str">
        <f>IF('1. Halbjahr'!E1="","",'1. Halbjahr'!E1)</f>
        <v/>
      </c>
      <c r="D1" s="466"/>
      <c r="E1" s="466"/>
      <c r="F1" s="40" t="s">
        <v>9</v>
      </c>
      <c r="G1" s="464"/>
      <c r="H1" s="465"/>
      <c r="I1" s="41"/>
      <c r="J1" s="41"/>
      <c r="K1" s="42"/>
    </row>
    <row r="2" spans="1:18" x14ac:dyDescent="0.2">
      <c r="A2" s="1"/>
      <c r="B2" s="43" t="s">
        <v>7</v>
      </c>
      <c r="C2" s="44" t="str">
        <f>IF('1. Halbjahr'!B1="","",'1. Halbjahr'!B1)</f>
        <v/>
      </c>
      <c r="D2" s="44"/>
      <c r="E2" s="45"/>
      <c r="F2" s="43" t="s">
        <v>80</v>
      </c>
      <c r="G2" s="46">
        <f>IF('2. Halbjahr'!K1="","",'2. Halbjahr'!K1)</f>
        <v>0</v>
      </c>
      <c r="H2" s="1"/>
      <c r="I2" s="1"/>
      <c r="J2" s="1"/>
      <c r="K2" s="26"/>
    </row>
    <row r="3" spans="1:18" x14ac:dyDescent="0.2">
      <c r="A3" s="3" t="s">
        <v>2</v>
      </c>
      <c r="B3" s="2" t="s">
        <v>3</v>
      </c>
      <c r="C3" s="3" t="s">
        <v>14</v>
      </c>
      <c r="D3" s="3" t="str">
        <f>IF(H3="BE",H3,"")</f>
        <v>BE</v>
      </c>
      <c r="E3" s="21" t="s">
        <v>26</v>
      </c>
      <c r="G3" s="41" t="s">
        <v>32</v>
      </c>
      <c r="H3" s="24" t="s">
        <v>15</v>
      </c>
      <c r="I3" s="1"/>
      <c r="J3" s="1"/>
      <c r="K3" s="26"/>
      <c r="L3" s="27"/>
      <c r="M3" s="27" t="s">
        <v>65</v>
      </c>
      <c r="O3" s="154" t="s">
        <v>66</v>
      </c>
      <c r="Q3" s="154" t="s">
        <v>67</v>
      </c>
      <c r="R3" s="153"/>
    </row>
    <row r="4" spans="1:18" x14ac:dyDescent="0.2">
      <c r="A4" s="3">
        <v>1</v>
      </c>
      <c r="B4" s="2" t="str">
        <f>IF('1. Halbjahr'!B4&lt;&gt;"", '1. Halbjahr'!B4, "")</f>
        <v/>
      </c>
      <c r="C4" s="37" t="str">
        <f ca="1">IF(D4="","",IF($H$3="BE", INDIRECT("P"&amp;MATCH(M4-0.001,$Q$4:$Q$20,-1)+4),D4))</f>
        <v/>
      </c>
      <c r="D4" s="5"/>
      <c r="E4" s="22"/>
      <c r="F4" s="1"/>
      <c r="G4" s="1"/>
      <c r="H4" s="1"/>
      <c r="I4" s="1"/>
      <c r="J4" s="47" t="str">
        <f t="shared" ref="J4:J38" si="0">+B4&amp;D4</f>
        <v/>
      </c>
      <c r="K4" s="26"/>
      <c r="L4" s="45"/>
      <c r="M4" s="157" t="str">
        <f>IF(D4="","",IF($H$3="BE",100 * D4 / IF(E4="",$H$30,E4)))</f>
        <v/>
      </c>
      <c r="O4" s="435">
        <f>IF($H$32="M", $H$35+12*(100-$H$35)/12, $H$35+30*(100-$H$35)/30)</f>
        <v>100</v>
      </c>
      <c r="Q4" s="436">
        <v>100</v>
      </c>
    </row>
    <row r="5" spans="1:18" x14ac:dyDescent="0.2">
      <c r="A5" s="3">
        <v>2</v>
      </c>
      <c r="B5" s="2" t="str">
        <f>IF('1. Halbjahr'!B5&lt;&gt;"", '1. Halbjahr'!B5, "")</f>
        <v/>
      </c>
      <c r="C5" s="37" t="str">
        <f t="shared" ref="C5:C38" ca="1" si="1">IF(D5="","",IF($H$3="BE", INDIRECT("P"&amp;MATCH(M5-0.001,$Q$4:$Q$20,-1)+4),D5))</f>
        <v/>
      </c>
      <c r="D5" s="5"/>
      <c r="E5" s="22"/>
      <c r="F5" s="462" t="s">
        <v>8</v>
      </c>
      <c r="G5" s="463"/>
      <c r="H5" s="463"/>
      <c r="I5" s="1"/>
      <c r="J5" s="47" t="str">
        <f t="shared" si="0"/>
        <v/>
      </c>
      <c r="K5" s="26"/>
      <c r="L5" s="1"/>
      <c r="M5" s="157" t="str">
        <f t="shared" ref="M5:M38" si="2">IF(D5="","",IF($H$3="BE",100 * D5 / IF(E5="",$H$30,E5)))</f>
        <v/>
      </c>
      <c r="O5" s="435">
        <f>IF($H$32="M", $H$35+11*(100-$H$35)/12, $H$35+27*(100-$H$35)/30)</f>
        <v>95</v>
      </c>
      <c r="P5" s="56">
        <v>15</v>
      </c>
      <c r="Q5" s="436">
        <f>(O5-100*SUM($A$43:A43)/$H$30)</f>
        <v>95</v>
      </c>
    </row>
    <row r="6" spans="1:18" x14ac:dyDescent="0.2">
      <c r="A6" s="3">
        <v>3</v>
      </c>
      <c r="B6" s="2" t="str">
        <f>IF('1. Halbjahr'!B6&lt;&gt;"", '1. Halbjahr'!B6, "")</f>
        <v/>
      </c>
      <c r="C6" s="37" t="str">
        <f t="shared" ca="1" si="1"/>
        <v/>
      </c>
      <c r="D6" s="5"/>
      <c r="E6" s="22"/>
      <c r="F6" s="11" t="s">
        <v>14</v>
      </c>
      <c r="G6" s="33" t="s">
        <v>4</v>
      </c>
      <c r="H6" s="11" t="s">
        <v>13</v>
      </c>
      <c r="I6" s="1"/>
      <c r="J6" s="47" t="str">
        <f t="shared" si="0"/>
        <v/>
      </c>
      <c r="K6" s="26"/>
      <c r="L6" s="1"/>
      <c r="M6" s="157" t="str">
        <f t="shared" si="2"/>
        <v/>
      </c>
      <c r="O6" s="435">
        <f>IF($H$32="M", $H$35+10*(100-$H$35)/12, $H$35+24*(100-$H$35)/30)</f>
        <v>90</v>
      </c>
      <c r="P6" s="56">
        <v>14</v>
      </c>
      <c r="Q6" s="436">
        <f>(O6-100*SUM($A$43:A44)/$H$30)</f>
        <v>90</v>
      </c>
    </row>
    <row r="7" spans="1:18" x14ac:dyDescent="0.2">
      <c r="A7" s="3">
        <v>4</v>
      </c>
      <c r="B7" s="2" t="str">
        <f>IF('1. Halbjahr'!B7&lt;&gt;"", '1. Halbjahr'!B7, "")</f>
        <v/>
      </c>
      <c r="C7" s="37" t="str">
        <f t="shared" ca="1" si="1"/>
        <v/>
      </c>
      <c r="D7" s="5"/>
      <c r="E7" s="22"/>
      <c r="F7" s="48">
        <v>15</v>
      </c>
      <c r="G7" s="13">
        <f ca="1">IF(G$25="","",COUNTIF(C$4:C$38,F7))</f>
        <v>0</v>
      </c>
      <c r="H7" s="14" t="e">
        <f t="shared" ref="H7:H22" ca="1" si="3">IF(G$25="","",G7/G$25)</f>
        <v>#DIV/0!</v>
      </c>
      <c r="I7" s="1"/>
      <c r="J7" s="47" t="str">
        <f t="shared" si="0"/>
        <v/>
      </c>
      <c r="K7" s="26"/>
      <c r="M7" s="157" t="str">
        <f t="shared" si="2"/>
        <v/>
      </c>
      <c r="O7" s="435">
        <f>IF($H$32="M", $H$35+9*(100-$H$35)/12, $H$35+21*(100-$H$35)/30)</f>
        <v>85</v>
      </c>
      <c r="P7" s="56">
        <v>13</v>
      </c>
      <c r="Q7" s="436">
        <f>(O7-100*SUM($A$43:A45)/$H$30)</f>
        <v>85</v>
      </c>
    </row>
    <row r="8" spans="1:18" x14ac:dyDescent="0.2">
      <c r="A8" s="3">
        <v>5</v>
      </c>
      <c r="B8" s="2" t="str">
        <f>IF('1. Halbjahr'!B8&lt;&gt;"", '1. Halbjahr'!B8, "")</f>
        <v/>
      </c>
      <c r="C8" s="37" t="str">
        <f t="shared" ca="1" si="1"/>
        <v/>
      </c>
      <c r="D8" s="5"/>
      <c r="E8" s="22"/>
      <c r="F8" s="49">
        <v>14</v>
      </c>
      <c r="G8" s="12">
        <f t="shared" ref="G8:G22" ca="1" si="4">IF(G$25="","",COUNTIF(C$4:C$38,F8))</f>
        <v>0</v>
      </c>
      <c r="H8" s="15" t="e">
        <f t="shared" ca="1" si="3"/>
        <v>#DIV/0!</v>
      </c>
      <c r="I8" s="23" t="e">
        <f ca="1">+H7+H8+H9</f>
        <v>#DIV/0!</v>
      </c>
      <c r="J8" s="47" t="str">
        <f t="shared" si="0"/>
        <v/>
      </c>
      <c r="K8" s="26"/>
      <c r="L8" s="1"/>
      <c r="M8" s="157" t="str">
        <f t="shared" si="2"/>
        <v/>
      </c>
      <c r="O8" s="435">
        <f>IF($H$32="M", $H$35+8*(100-$H$35)/12, $H$35+18*(100-$H$35)/30)</f>
        <v>80</v>
      </c>
      <c r="P8" s="56">
        <v>12</v>
      </c>
      <c r="Q8" s="436">
        <f>(O8-100*SUM($A$43:A46)/$H$30)</f>
        <v>80</v>
      </c>
    </row>
    <row r="9" spans="1:18" x14ac:dyDescent="0.2">
      <c r="A9" s="3">
        <v>6</v>
      </c>
      <c r="B9" s="2" t="str">
        <f>IF('1. Halbjahr'!B9&lt;&gt;"", '1. Halbjahr'!B9, "")</f>
        <v/>
      </c>
      <c r="C9" s="37" t="str">
        <f t="shared" ca="1" si="1"/>
        <v/>
      </c>
      <c r="D9" s="5"/>
      <c r="E9" s="22"/>
      <c r="F9" s="50">
        <v>13</v>
      </c>
      <c r="G9" s="16">
        <f t="shared" ca="1" si="4"/>
        <v>0</v>
      </c>
      <c r="H9" s="17" t="e">
        <f t="shared" ca="1" si="3"/>
        <v>#DIV/0!</v>
      </c>
      <c r="I9" s="1">
        <f ca="1">+G7+G8+G9</f>
        <v>0</v>
      </c>
      <c r="J9" s="47" t="str">
        <f t="shared" si="0"/>
        <v/>
      </c>
      <c r="K9" s="26"/>
      <c r="L9" s="1"/>
      <c r="M9" s="157" t="str">
        <f t="shared" si="2"/>
        <v/>
      </c>
      <c r="O9" s="435">
        <f>IF($H$32="M", $H$35+7*(100-$H$35)/12, $H$35+15*(100-$H$35)/30)</f>
        <v>75</v>
      </c>
      <c r="P9" s="56">
        <v>11</v>
      </c>
      <c r="Q9" s="436">
        <f>(O9-100*SUM($A$43:A47)/$H$30)</f>
        <v>75</v>
      </c>
    </row>
    <row r="10" spans="1:18" x14ac:dyDescent="0.2">
      <c r="A10" s="3">
        <v>7</v>
      </c>
      <c r="B10" s="2" t="str">
        <f>IF('1. Halbjahr'!B10&lt;&gt;"", '1. Halbjahr'!B10, "")</f>
        <v/>
      </c>
      <c r="C10" s="37" t="str">
        <f t="shared" ca="1" si="1"/>
        <v/>
      </c>
      <c r="D10" s="5"/>
      <c r="E10" s="22"/>
      <c r="F10" s="48">
        <v>12</v>
      </c>
      <c r="G10" s="13">
        <f t="shared" ca="1" si="4"/>
        <v>0</v>
      </c>
      <c r="H10" s="14" t="e">
        <f t="shared" ca="1" si="3"/>
        <v>#DIV/0!</v>
      </c>
      <c r="I10" s="1"/>
      <c r="J10" s="47" t="str">
        <f t="shared" si="0"/>
        <v/>
      </c>
      <c r="K10" s="26"/>
      <c r="L10" s="1"/>
      <c r="M10" s="157" t="str">
        <f t="shared" si="2"/>
        <v/>
      </c>
      <c r="O10" s="435">
        <f>IF($H$32="M", $H$35+6*(100-$H$35)/12, $H$35+12*(100-$H$35)/30)</f>
        <v>70</v>
      </c>
      <c r="P10" s="56">
        <v>10</v>
      </c>
      <c r="Q10" s="436">
        <f>(O10-100*SUM($A$43:A48)/$H$30)</f>
        <v>70</v>
      </c>
    </row>
    <row r="11" spans="1:18" x14ac:dyDescent="0.2">
      <c r="A11" s="3">
        <v>8</v>
      </c>
      <c r="B11" s="2" t="str">
        <f>IF('1. Halbjahr'!B11&lt;&gt;"", '1. Halbjahr'!B11, "")</f>
        <v/>
      </c>
      <c r="C11" s="37" t="str">
        <f t="shared" ca="1" si="1"/>
        <v/>
      </c>
      <c r="D11" s="5"/>
      <c r="E11" s="22"/>
      <c r="F11" s="49">
        <v>11</v>
      </c>
      <c r="G11" s="12">
        <f t="shared" ca="1" si="4"/>
        <v>0</v>
      </c>
      <c r="H11" s="15" t="e">
        <f t="shared" ca="1" si="3"/>
        <v>#DIV/0!</v>
      </c>
      <c r="I11" s="23" t="e">
        <f ca="1">+H10+H11+H12</f>
        <v>#DIV/0!</v>
      </c>
      <c r="J11" s="47" t="str">
        <f t="shared" si="0"/>
        <v/>
      </c>
      <c r="K11" s="26"/>
      <c r="L11" s="1"/>
      <c r="M11" s="157" t="str">
        <f t="shared" si="2"/>
        <v/>
      </c>
      <c r="O11" s="435">
        <f>IF($H$32="M", $H$35+5*(100-$H$35)/12, $H$35+10*(100-$H$35)/30)</f>
        <v>65</v>
      </c>
      <c r="P11" s="56">
        <v>9</v>
      </c>
      <c r="Q11" s="436">
        <f>(O11-100*SUM($A$43:A49)/$H$30)</f>
        <v>65</v>
      </c>
    </row>
    <row r="12" spans="1:18" x14ac:dyDescent="0.2">
      <c r="A12" s="3">
        <v>9</v>
      </c>
      <c r="B12" s="2" t="str">
        <f>IF('1. Halbjahr'!B12&lt;&gt;"", '1. Halbjahr'!B12, "")</f>
        <v/>
      </c>
      <c r="C12" s="37" t="str">
        <f t="shared" ca="1" si="1"/>
        <v/>
      </c>
      <c r="D12" s="5"/>
      <c r="E12" s="22"/>
      <c r="F12" s="50">
        <v>10</v>
      </c>
      <c r="G12" s="16">
        <f t="shared" ca="1" si="4"/>
        <v>0</v>
      </c>
      <c r="H12" s="17" t="e">
        <f t="shared" ca="1" si="3"/>
        <v>#DIV/0!</v>
      </c>
      <c r="I12" s="1">
        <f ca="1">+G10+G11+G12</f>
        <v>0</v>
      </c>
      <c r="J12" s="47" t="str">
        <f t="shared" si="0"/>
        <v/>
      </c>
      <c r="K12" s="26"/>
      <c r="M12" s="157" t="str">
        <f t="shared" si="2"/>
        <v/>
      </c>
      <c r="O12" s="435">
        <f>IF($H$32="M", $H$35+4*(100-$H$35)/12, $H$35+8*(100-$H$35)/30)</f>
        <v>60</v>
      </c>
      <c r="P12" s="56">
        <v>8</v>
      </c>
      <c r="Q12" s="436">
        <f>(O12-100*SUM($A$43:A50)/$H$30)</f>
        <v>60</v>
      </c>
    </row>
    <row r="13" spans="1:18" x14ac:dyDescent="0.2">
      <c r="A13" s="3">
        <v>10</v>
      </c>
      <c r="B13" s="2" t="str">
        <f>IF('1. Halbjahr'!B13&lt;&gt;"", '1. Halbjahr'!B13, "")</f>
        <v/>
      </c>
      <c r="C13" s="37" t="str">
        <f t="shared" ca="1" si="1"/>
        <v/>
      </c>
      <c r="D13" s="5"/>
      <c r="E13" s="22"/>
      <c r="F13" s="19">
        <v>9</v>
      </c>
      <c r="G13" s="13">
        <f t="shared" ca="1" si="4"/>
        <v>0</v>
      </c>
      <c r="H13" s="14" t="e">
        <f t="shared" ca="1" si="3"/>
        <v>#DIV/0!</v>
      </c>
      <c r="I13" s="1"/>
      <c r="J13" s="47" t="str">
        <f t="shared" si="0"/>
        <v/>
      </c>
      <c r="K13" s="26"/>
      <c r="L13" s="1"/>
      <c r="M13" s="157" t="str">
        <f t="shared" si="2"/>
        <v/>
      </c>
      <c r="O13" s="435">
        <f>IF($H$32="M", $H$35+3*(100-$H$35)/12, $H$35+6*(100-$H$35)/30)</f>
        <v>55</v>
      </c>
      <c r="P13" s="56">
        <v>7</v>
      </c>
      <c r="Q13" s="436">
        <f>(O13-100*SUM($A$43:A51)/$H$30)</f>
        <v>55</v>
      </c>
    </row>
    <row r="14" spans="1:18" x14ac:dyDescent="0.2">
      <c r="A14" s="3">
        <v>11</v>
      </c>
      <c r="B14" s="2" t="str">
        <f>IF('1. Halbjahr'!B14&lt;&gt;"", '1. Halbjahr'!B14, "")</f>
        <v/>
      </c>
      <c r="C14" s="37" t="str">
        <f t="shared" ca="1" si="1"/>
        <v/>
      </c>
      <c r="D14" s="5"/>
      <c r="E14" s="22"/>
      <c r="F14" s="49">
        <v>8</v>
      </c>
      <c r="G14" s="12">
        <f t="shared" ca="1" si="4"/>
        <v>0</v>
      </c>
      <c r="H14" s="15" t="e">
        <f t="shared" ca="1" si="3"/>
        <v>#DIV/0!</v>
      </c>
      <c r="I14" s="23" t="e">
        <f ca="1">+H13+H14+H15</f>
        <v>#DIV/0!</v>
      </c>
      <c r="J14" s="47" t="str">
        <f t="shared" si="0"/>
        <v/>
      </c>
      <c r="K14" s="26"/>
      <c r="M14" s="157" t="str">
        <f t="shared" si="2"/>
        <v/>
      </c>
      <c r="O14" s="435">
        <f>IF($H$32="M", $H$35+2*(100-$H$35)/12, $H$35+4*(100-$H$35)/30)</f>
        <v>50</v>
      </c>
      <c r="P14" s="56">
        <v>6</v>
      </c>
      <c r="Q14" s="436">
        <f>(O14-100*SUM($A$43:A52)/$H$30)</f>
        <v>50</v>
      </c>
    </row>
    <row r="15" spans="1:18" x14ac:dyDescent="0.2">
      <c r="A15" s="3">
        <v>12</v>
      </c>
      <c r="B15" s="2" t="str">
        <f>IF('1. Halbjahr'!B15&lt;&gt;"", '1. Halbjahr'!B15, "")</f>
        <v/>
      </c>
      <c r="C15" s="37" t="str">
        <f t="shared" ca="1" si="1"/>
        <v/>
      </c>
      <c r="D15" s="5"/>
      <c r="E15" s="22"/>
      <c r="F15" s="18">
        <v>7</v>
      </c>
      <c r="G15" s="16">
        <f t="shared" ca="1" si="4"/>
        <v>0</v>
      </c>
      <c r="H15" s="17" t="e">
        <f t="shared" ca="1" si="3"/>
        <v>#DIV/0!</v>
      </c>
      <c r="I15" s="1">
        <f ca="1">+G13+G14+G15</f>
        <v>0</v>
      </c>
      <c r="J15" s="47" t="str">
        <f t="shared" si="0"/>
        <v/>
      </c>
      <c r="K15" s="26"/>
      <c r="M15" s="157" t="str">
        <f t="shared" si="2"/>
        <v/>
      </c>
      <c r="O15" s="435">
        <f>IF($H$32="M", $H$35+1*(100-$H$35)/12, $H$35+2*(100-$H$35)/30)</f>
        <v>45</v>
      </c>
      <c r="P15" s="56">
        <v>5</v>
      </c>
      <c r="Q15" s="436">
        <f>(O15-100*SUM($A$43:A53)/$H$30)</f>
        <v>45</v>
      </c>
    </row>
    <row r="16" spans="1:18" x14ac:dyDescent="0.2">
      <c r="A16" s="3">
        <v>13</v>
      </c>
      <c r="B16" s="2" t="str">
        <f>IF('1. Halbjahr'!B16&lt;&gt;"", '1. Halbjahr'!B16, "")</f>
        <v/>
      </c>
      <c r="C16" s="37" t="str">
        <f t="shared" ca="1" si="1"/>
        <v/>
      </c>
      <c r="D16" s="5"/>
      <c r="E16" s="22"/>
      <c r="F16" s="19">
        <v>6</v>
      </c>
      <c r="G16" s="13">
        <f t="shared" ca="1" si="4"/>
        <v>0</v>
      </c>
      <c r="H16" s="14" t="e">
        <f t="shared" ca="1" si="3"/>
        <v>#DIV/0!</v>
      </c>
      <c r="I16" s="1"/>
      <c r="J16" s="47" t="str">
        <f t="shared" si="0"/>
        <v/>
      </c>
      <c r="K16" s="26"/>
      <c r="M16" s="157" t="str">
        <f t="shared" si="2"/>
        <v/>
      </c>
      <c r="O16" s="435">
        <f>$H$35</f>
        <v>40</v>
      </c>
      <c r="P16" s="56">
        <v>4</v>
      </c>
      <c r="Q16" s="436">
        <f>(O16-100*SUM($A$43:A54)/$H$30)</f>
        <v>40</v>
      </c>
    </row>
    <row r="17" spans="1:17" x14ac:dyDescent="0.2">
      <c r="A17" s="3">
        <v>14</v>
      </c>
      <c r="B17" s="2" t="str">
        <f>IF('1. Halbjahr'!B17&lt;&gt;"", '1. Halbjahr'!B17, "")</f>
        <v/>
      </c>
      <c r="C17" s="37" t="str">
        <f t="shared" ca="1" si="1"/>
        <v/>
      </c>
      <c r="D17" s="5"/>
      <c r="E17" s="22"/>
      <c r="F17" s="20">
        <v>5</v>
      </c>
      <c r="G17" s="12">
        <f t="shared" ca="1" si="4"/>
        <v>0</v>
      </c>
      <c r="H17" s="15" t="e">
        <f t="shared" ca="1" si="3"/>
        <v>#DIV/0!</v>
      </c>
      <c r="I17" s="23" t="e">
        <f ca="1">+H16+H17+H18</f>
        <v>#DIV/0!</v>
      </c>
      <c r="J17" s="47" t="str">
        <f t="shared" si="0"/>
        <v/>
      </c>
      <c r="K17" s="26"/>
      <c r="M17" s="157" t="str">
        <f t="shared" si="2"/>
        <v/>
      </c>
      <c r="O17" s="435">
        <f>($H$34+2*($H$35-$H$34)/3)</f>
        <v>33.333333333333336</v>
      </c>
      <c r="P17" s="56">
        <v>3</v>
      </c>
      <c r="Q17" s="436">
        <f>(O17-100*SUM($A$43:A55)/$H$30)</f>
        <v>33.333333333333336</v>
      </c>
    </row>
    <row r="18" spans="1:17" x14ac:dyDescent="0.2">
      <c r="A18" s="3">
        <v>15</v>
      </c>
      <c r="B18" s="2" t="str">
        <f>IF('1. Halbjahr'!B18&lt;&gt;"", '1. Halbjahr'!B18, "")</f>
        <v/>
      </c>
      <c r="C18" s="37" t="str">
        <f t="shared" ca="1" si="1"/>
        <v/>
      </c>
      <c r="D18" s="5"/>
      <c r="E18" s="22"/>
      <c r="F18" s="50">
        <v>4</v>
      </c>
      <c r="G18" s="16">
        <f t="shared" ca="1" si="4"/>
        <v>0</v>
      </c>
      <c r="H18" s="17" t="e">
        <f t="shared" ca="1" si="3"/>
        <v>#DIV/0!</v>
      </c>
      <c r="I18" s="1">
        <f ca="1">+G16+G17+G18</f>
        <v>0</v>
      </c>
      <c r="J18" s="47" t="str">
        <f t="shared" si="0"/>
        <v/>
      </c>
      <c r="K18" s="1"/>
      <c r="M18" s="157" t="str">
        <f t="shared" si="2"/>
        <v/>
      </c>
      <c r="O18" s="435">
        <f>($H$34+($H$35-$H$34)/3)</f>
        <v>26.666666666666668</v>
      </c>
      <c r="P18" s="56">
        <v>2</v>
      </c>
      <c r="Q18" s="436">
        <f>(O18-100*SUM($A$43:A56)/$H$30)</f>
        <v>26.666666666666668</v>
      </c>
    </row>
    <row r="19" spans="1:17" x14ac:dyDescent="0.2">
      <c r="A19" s="3">
        <v>16</v>
      </c>
      <c r="B19" s="2" t="str">
        <f>IF('1. Halbjahr'!B19&lt;&gt;"", '1. Halbjahr'!B19, "")</f>
        <v/>
      </c>
      <c r="C19" s="37" t="str">
        <f t="shared" ca="1" si="1"/>
        <v/>
      </c>
      <c r="D19" s="5"/>
      <c r="E19" s="22"/>
      <c r="F19" s="48">
        <v>3</v>
      </c>
      <c r="G19" s="13">
        <f t="shared" ca="1" si="4"/>
        <v>0</v>
      </c>
      <c r="H19" s="14" t="e">
        <f t="shared" ca="1" si="3"/>
        <v>#DIV/0!</v>
      </c>
      <c r="I19" s="1"/>
      <c r="J19" s="47" t="str">
        <f t="shared" si="0"/>
        <v/>
      </c>
      <c r="K19" s="1"/>
      <c r="M19" s="157" t="str">
        <f t="shared" si="2"/>
        <v/>
      </c>
      <c r="O19" s="435">
        <f>$H$34-0.01</f>
        <v>19.989999999999998</v>
      </c>
      <c r="P19" s="56">
        <v>1</v>
      </c>
      <c r="Q19" s="436">
        <f>(O19-100*SUM($A$43:A57)/$H$30)</f>
        <v>19.989999999999998</v>
      </c>
    </row>
    <row r="20" spans="1:17" x14ac:dyDescent="0.2">
      <c r="A20" s="3">
        <v>17</v>
      </c>
      <c r="B20" s="2" t="str">
        <f>IF('1. Halbjahr'!B20&lt;&gt;"", '1. Halbjahr'!B20, "")</f>
        <v/>
      </c>
      <c r="C20" s="37" t="str">
        <f t="shared" ca="1" si="1"/>
        <v/>
      </c>
      <c r="D20" s="5"/>
      <c r="E20" s="22"/>
      <c r="F20" s="49">
        <v>2</v>
      </c>
      <c r="G20" s="12">
        <f t="shared" ca="1" si="4"/>
        <v>0</v>
      </c>
      <c r="H20" s="15" t="e">
        <f t="shared" ca="1" si="3"/>
        <v>#DIV/0!</v>
      </c>
      <c r="I20" s="23" t="e">
        <f ca="1">+H19+H20+H21</f>
        <v>#DIV/0!</v>
      </c>
      <c r="J20" s="47" t="str">
        <f t="shared" si="0"/>
        <v/>
      </c>
      <c r="K20" s="1"/>
      <c r="M20" s="157" t="str">
        <f t="shared" si="2"/>
        <v/>
      </c>
      <c r="O20" s="435">
        <v>0</v>
      </c>
      <c r="P20" s="56">
        <v>0</v>
      </c>
      <c r="Q20" s="436">
        <v>0</v>
      </c>
    </row>
    <row r="21" spans="1:17" x14ac:dyDescent="0.2">
      <c r="A21" s="3">
        <v>18</v>
      </c>
      <c r="B21" s="2" t="str">
        <f>IF('1. Halbjahr'!B21&lt;&gt;"", '1. Halbjahr'!B21, "")</f>
        <v/>
      </c>
      <c r="C21" s="37" t="str">
        <f t="shared" ca="1" si="1"/>
        <v/>
      </c>
      <c r="D21" s="5"/>
      <c r="E21" s="22"/>
      <c r="F21" s="50">
        <v>1</v>
      </c>
      <c r="G21" s="16">
        <f t="shared" ca="1" si="4"/>
        <v>0</v>
      </c>
      <c r="H21" s="17" t="e">
        <f t="shared" ca="1" si="3"/>
        <v>#DIV/0!</v>
      </c>
      <c r="I21" s="1">
        <f ca="1">+G19+G20+G21</f>
        <v>0</v>
      </c>
      <c r="J21" s="47" t="str">
        <f t="shared" si="0"/>
        <v/>
      </c>
      <c r="K21" s="1"/>
      <c r="M21" s="157" t="str">
        <f t="shared" si="2"/>
        <v/>
      </c>
      <c r="O21" s="153"/>
    </row>
    <row r="22" spans="1:17" x14ac:dyDescent="0.2">
      <c r="A22" s="3">
        <v>19</v>
      </c>
      <c r="B22" s="2" t="str">
        <f>IF('1. Halbjahr'!B22&lt;&gt;"", '1. Halbjahr'!B22, "")</f>
        <v/>
      </c>
      <c r="C22" s="37" t="str">
        <f t="shared" ca="1" si="1"/>
        <v/>
      </c>
      <c r="D22" s="5"/>
      <c r="E22" s="22"/>
      <c r="F22" s="61">
        <v>0</v>
      </c>
      <c r="G22" s="62">
        <f t="shared" ca="1" si="4"/>
        <v>0</v>
      </c>
      <c r="H22" s="63" t="e">
        <f t="shared" ca="1" si="3"/>
        <v>#DIV/0!</v>
      </c>
      <c r="I22" s="23" t="e">
        <f ca="1">+H22</f>
        <v>#DIV/0!</v>
      </c>
      <c r="J22" s="51" t="str">
        <f t="shared" si="0"/>
        <v/>
      </c>
      <c r="K22" s="1"/>
      <c r="M22" s="157" t="str">
        <f t="shared" si="2"/>
        <v/>
      </c>
    </row>
    <row r="23" spans="1:17" x14ac:dyDescent="0.2">
      <c r="A23" s="3">
        <v>20</v>
      </c>
      <c r="B23" s="2" t="str">
        <f>IF('1. Halbjahr'!B23&lt;&gt;"", '1. Halbjahr'!B23, "")</f>
        <v/>
      </c>
      <c r="C23" s="37" t="str">
        <f t="shared" ca="1" si="1"/>
        <v/>
      </c>
      <c r="D23" s="5"/>
      <c r="E23" s="22"/>
      <c r="F23" s="52" t="s">
        <v>23</v>
      </c>
      <c r="G23" s="38" t="e">
        <f ca="1">AVERAGE(C4:C38)</f>
        <v>#DIV/0!</v>
      </c>
      <c r="H23" s="60" t="e">
        <f ca="1">+(17-G23)/3</f>
        <v>#DIV/0!</v>
      </c>
      <c r="I23" s="1">
        <f ca="1">+G22</f>
        <v>0</v>
      </c>
      <c r="J23" s="51" t="str">
        <f t="shared" si="0"/>
        <v/>
      </c>
      <c r="K23" s="1"/>
      <c r="M23" s="157" t="str">
        <f t="shared" si="2"/>
        <v/>
      </c>
    </row>
    <row r="24" spans="1:17" x14ac:dyDescent="0.2">
      <c r="A24" s="3">
        <v>21</v>
      </c>
      <c r="B24" s="2" t="str">
        <f>IF('1. Halbjahr'!B24&lt;&gt;"", '1. Halbjahr'!B24, "")</f>
        <v/>
      </c>
      <c r="C24" s="37" t="str">
        <f t="shared" ca="1" si="1"/>
        <v/>
      </c>
      <c r="D24" s="5"/>
      <c r="E24" s="22"/>
      <c r="F24" s="1"/>
      <c r="G24" s="1"/>
      <c r="H24" s="1"/>
      <c r="I24" s="1"/>
      <c r="J24" s="51" t="str">
        <f t="shared" si="0"/>
        <v/>
      </c>
      <c r="K24" s="1"/>
      <c r="M24" s="157" t="str">
        <f t="shared" si="2"/>
        <v/>
      </c>
    </row>
    <row r="25" spans="1:17" x14ac:dyDescent="0.2">
      <c r="A25" s="3">
        <v>22</v>
      </c>
      <c r="B25" s="2" t="str">
        <f>IF('1. Halbjahr'!B25&lt;&gt;"", '1. Halbjahr'!B25, "")</f>
        <v/>
      </c>
      <c r="C25" s="37" t="str">
        <f t="shared" ca="1" si="1"/>
        <v/>
      </c>
      <c r="D25" s="5"/>
      <c r="E25" s="22"/>
      <c r="F25" s="53" t="s">
        <v>10</v>
      </c>
      <c r="G25" s="6">
        <f>COUNT(D4:D38)</f>
        <v>0</v>
      </c>
      <c r="H25" s="1"/>
      <c r="I25" s="1"/>
      <c r="J25" s="51" t="str">
        <f t="shared" si="0"/>
        <v/>
      </c>
      <c r="K25" s="1"/>
      <c r="M25" s="157" t="str">
        <f t="shared" si="2"/>
        <v/>
      </c>
    </row>
    <row r="26" spans="1:17" x14ac:dyDescent="0.2">
      <c r="A26" s="3">
        <v>23</v>
      </c>
      <c r="B26" s="2" t="str">
        <f>IF('1. Halbjahr'!B26&lt;&gt;"", '1. Halbjahr'!B26, "")</f>
        <v/>
      </c>
      <c r="C26" s="37" t="str">
        <f t="shared" ca="1" si="1"/>
        <v/>
      </c>
      <c r="D26" s="5"/>
      <c r="E26" s="22"/>
      <c r="F26" s="54" t="s">
        <v>11</v>
      </c>
      <c r="G26" s="7">
        <f>+G27-G25</f>
        <v>0</v>
      </c>
      <c r="H26" s="1"/>
      <c r="I26" s="1"/>
      <c r="J26" s="51" t="str">
        <f t="shared" si="0"/>
        <v/>
      </c>
      <c r="K26" s="1"/>
      <c r="M26" s="157" t="str">
        <f t="shared" si="2"/>
        <v/>
      </c>
    </row>
    <row r="27" spans="1:17" x14ac:dyDescent="0.2">
      <c r="A27" s="3">
        <v>24</v>
      </c>
      <c r="B27" s="2" t="str">
        <f>IF('1. Halbjahr'!B27&lt;&gt;"", '1. Halbjahr'!B27, "")</f>
        <v/>
      </c>
      <c r="C27" s="37" t="str">
        <f t="shared" ca="1" si="1"/>
        <v/>
      </c>
      <c r="D27" s="5"/>
      <c r="E27" s="22"/>
      <c r="F27" s="54" t="s">
        <v>12</v>
      </c>
      <c r="G27" s="7">
        <f>35-COUNTIF(J4:J38,"")</f>
        <v>0</v>
      </c>
      <c r="H27" s="1"/>
      <c r="I27" s="1"/>
      <c r="J27" s="51" t="str">
        <f t="shared" si="0"/>
        <v/>
      </c>
      <c r="K27" s="1"/>
      <c r="M27" s="157" t="str">
        <f t="shared" si="2"/>
        <v/>
      </c>
    </row>
    <row r="28" spans="1:17" x14ac:dyDescent="0.2">
      <c r="A28" s="3">
        <v>25</v>
      </c>
      <c r="B28" s="2" t="str">
        <f>IF('1. Halbjahr'!B28&lt;&gt;"", '1. Halbjahr'!B28, "")</f>
        <v/>
      </c>
      <c r="C28" s="37" t="str">
        <f t="shared" ca="1" si="1"/>
        <v/>
      </c>
      <c r="D28" s="5"/>
      <c r="E28" s="22"/>
      <c r="F28" s="1"/>
      <c r="G28" s="1"/>
      <c r="H28" s="1"/>
      <c r="I28" s="1"/>
      <c r="J28" s="51" t="str">
        <f t="shared" si="0"/>
        <v/>
      </c>
      <c r="K28" s="1"/>
      <c r="M28" s="157" t="str">
        <f t="shared" si="2"/>
        <v/>
      </c>
    </row>
    <row r="29" spans="1:17" ht="13.5" thickBot="1" x14ac:dyDescent="0.25">
      <c r="A29" s="3">
        <v>26</v>
      </c>
      <c r="B29" s="2" t="str">
        <f>IF('1. Halbjahr'!B29&lt;&gt;"", '1. Halbjahr'!B29, "")</f>
        <v/>
      </c>
      <c r="C29" s="37" t="str">
        <f t="shared" ca="1" si="1"/>
        <v/>
      </c>
      <c r="D29" s="5"/>
      <c r="E29" s="22"/>
      <c r="F29" s="55" t="s">
        <v>16</v>
      </c>
      <c r="G29" s="1"/>
      <c r="H29" s="1"/>
      <c r="I29" s="1"/>
      <c r="J29" s="51" t="str">
        <f t="shared" si="0"/>
        <v/>
      </c>
      <c r="K29" s="1"/>
      <c r="M29" s="157" t="str">
        <f t="shared" si="2"/>
        <v/>
      </c>
    </row>
    <row r="30" spans="1:17" ht="13.5" thickBot="1" x14ac:dyDescent="0.25">
      <c r="A30" s="3">
        <v>27</v>
      </c>
      <c r="B30" s="2" t="str">
        <f>IF('1. Halbjahr'!B30&lt;&gt;"", '1. Halbjahr'!B30, "")</f>
        <v/>
      </c>
      <c r="C30" s="37" t="str">
        <f t="shared" ca="1" si="1"/>
        <v/>
      </c>
      <c r="D30" s="5"/>
      <c r="E30" s="22"/>
      <c r="H30" s="8">
        <v>12</v>
      </c>
      <c r="I30" s="1"/>
      <c r="J30" s="51" t="str">
        <f t="shared" si="0"/>
        <v/>
      </c>
      <c r="K30" s="1"/>
      <c r="M30" s="157" t="str">
        <f t="shared" si="2"/>
        <v/>
      </c>
    </row>
    <row r="31" spans="1:17" ht="13.5" thickBot="1" x14ac:dyDescent="0.25">
      <c r="A31" s="3">
        <v>28</v>
      </c>
      <c r="B31" s="2" t="str">
        <f>IF('1. Halbjahr'!B31&lt;&gt;"", '1. Halbjahr'!B31, "")</f>
        <v/>
      </c>
      <c r="C31" s="37" t="str">
        <f t="shared" ca="1" si="1"/>
        <v/>
      </c>
      <c r="D31" s="5"/>
      <c r="E31" s="22"/>
      <c r="J31" s="51" t="str">
        <f t="shared" si="0"/>
        <v/>
      </c>
      <c r="K31" s="1"/>
      <c r="M31" s="157" t="str">
        <f t="shared" si="2"/>
        <v/>
      </c>
    </row>
    <row r="32" spans="1:17" ht="13.5" thickBot="1" x14ac:dyDescent="0.25">
      <c r="A32" s="3">
        <v>29</v>
      </c>
      <c r="B32" s="2" t="str">
        <f>IF('1. Halbjahr'!B32&lt;&gt;"", '1. Halbjahr'!B32, "")</f>
        <v/>
      </c>
      <c r="C32" s="37" t="str">
        <f t="shared" ca="1" si="1"/>
        <v/>
      </c>
      <c r="D32" s="5"/>
      <c r="E32" s="22"/>
      <c r="F32" s="56" t="s">
        <v>24</v>
      </c>
      <c r="H32" s="10" t="s">
        <v>25</v>
      </c>
      <c r="J32" s="51" t="str">
        <f t="shared" si="0"/>
        <v/>
      </c>
      <c r="K32" s="1"/>
      <c r="M32" s="157" t="str">
        <f t="shared" si="2"/>
        <v/>
      </c>
    </row>
    <row r="33" spans="1:13" x14ac:dyDescent="0.2">
      <c r="A33" s="3">
        <v>30</v>
      </c>
      <c r="B33" s="2" t="str">
        <f>IF('1. Halbjahr'!B33&lt;&gt;"", '1. Halbjahr'!B33, "")</f>
        <v/>
      </c>
      <c r="C33" s="37" t="str">
        <f t="shared" ca="1" si="1"/>
        <v/>
      </c>
      <c r="D33" s="5"/>
      <c r="E33" s="22"/>
      <c r="F33" s="56" t="s">
        <v>17</v>
      </c>
      <c r="H33" s="57"/>
      <c r="I33" s="56"/>
      <c r="J33" s="51" t="str">
        <f t="shared" si="0"/>
        <v/>
      </c>
      <c r="K33" s="1"/>
      <c r="M33" s="157" t="str">
        <f t="shared" si="2"/>
        <v/>
      </c>
    </row>
    <row r="34" spans="1:13" x14ac:dyDescent="0.2">
      <c r="A34" s="3">
        <v>31</v>
      </c>
      <c r="B34" s="2" t="str">
        <f>IF('1. Halbjahr'!B34&lt;&gt;"", '1. Halbjahr'!B34, "")</f>
        <v/>
      </c>
      <c r="C34" s="37" t="str">
        <f t="shared" ca="1" si="1"/>
        <v/>
      </c>
      <c r="D34" s="5"/>
      <c r="E34" s="22"/>
      <c r="F34" s="56" t="s">
        <v>18</v>
      </c>
      <c r="G34" s="56"/>
      <c r="H34" s="9">
        <v>20</v>
      </c>
      <c r="I34" s="58" t="s">
        <v>19</v>
      </c>
      <c r="J34" s="51" t="str">
        <f t="shared" si="0"/>
        <v/>
      </c>
      <c r="K34" s="1"/>
      <c r="M34" s="157" t="str">
        <f t="shared" si="2"/>
        <v/>
      </c>
    </row>
    <row r="35" spans="1:13" x14ac:dyDescent="0.2">
      <c r="A35" s="3">
        <v>32</v>
      </c>
      <c r="B35" s="2" t="str">
        <f>IF('1. Halbjahr'!B35&lt;&gt;"", '1. Halbjahr'!B35, "")</f>
        <v/>
      </c>
      <c r="C35" s="37" t="str">
        <f t="shared" ca="1" si="1"/>
        <v/>
      </c>
      <c r="D35" s="5"/>
      <c r="E35" s="22"/>
      <c r="F35" s="56" t="s">
        <v>20</v>
      </c>
      <c r="G35" s="56"/>
      <c r="H35" s="9">
        <v>40</v>
      </c>
      <c r="I35" s="58" t="s">
        <v>19</v>
      </c>
      <c r="J35" s="51" t="str">
        <f t="shared" si="0"/>
        <v/>
      </c>
      <c r="K35" s="1"/>
      <c r="M35" s="157" t="str">
        <f t="shared" si="2"/>
        <v/>
      </c>
    </row>
    <row r="36" spans="1:13" x14ac:dyDescent="0.2">
      <c r="A36" s="3">
        <v>33</v>
      </c>
      <c r="B36" s="2" t="str">
        <f>IF('1. Halbjahr'!B36&lt;&gt;"", '1. Halbjahr'!B36, "")</f>
        <v/>
      </c>
      <c r="C36" s="37" t="str">
        <f t="shared" ca="1" si="1"/>
        <v/>
      </c>
      <c r="D36" s="5"/>
      <c r="E36" s="22"/>
      <c r="F36" s="56"/>
      <c r="I36" s="1"/>
      <c r="J36" s="51" t="str">
        <f t="shared" si="0"/>
        <v/>
      </c>
      <c r="K36" s="1"/>
      <c r="M36" s="157" t="str">
        <f t="shared" si="2"/>
        <v/>
      </c>
    </row>
    <row r="37" spans="1:13" x14ac:dyDescent="0.2">
      <c r="A37" s="3">
        <v>34</v>
      </c>
      <c r="B37" s="2" t="str">
        <f>IF('1. Halbjahr'!B37&lt;&gt;"", '1. Halbjahr'!B37, "")</f>
        <v/>
      </c>
      <c r="C37" s="37" t="str">
        <f t="shared" ca="1" si="1"/>
        <v/>
      </c>
      <c r="D37" s="5"/>
      <c r="E37" s="22"/>
      <c r="J37" s="51" t="str">
        <f t="shared" si="0"/>
        <v/>
      </c>
      <c r="M37" s="157" t="str">
        <f t="shared" si="2"/>
        <v/>
      </c>
    </row>
    <row r="38" spans="1:13" x14ac:dyDescent="0.2">
      <c r="A38" s="3">
        <v>35</v>
      </c>
      <c r="B38" s="2" t="str">
        <f>IF('1. Halbjahr'!B38&lt;&gt;"", '1. Halbjahr'!B38, "")</f>
        <v/>
      </c>
      <c r="C38" s="37" t="str">
        <f t="shared" ca="1" si="1"/>
        <v/>
      </c>
      <c r="D38" s="5"/>
      <c r="E38" s="22"/>
      <c r="J38" s="51" t="str">
        <f t="shared" si="0"/>
        <v/>
      </c>
      <c r="M38" s="157" t="str">
        <f t="shared" si="2"/>
        <v/>
      </c>
    </row>
    <row r="39" spans="1:13" ht="9" customHeight="1" thickBot="1" x14ac:dyDescent="0.25"/>
    <row r="40" spans="1:13" ht="12.75" customHeight="1" x14ac:dyDescent="0.2">
      <c r="A40" s="459"/>
      <c r="B40" s="69" t="s">
        <v>45</v>
      </c>
      <c r="C40" s="467" t="s">
        <v>42</v>
      </c>
      <c r="D40" s="468"/>
      <c r="E40" s="471" t="s">
        <v>110</v>
      </c>
      <c r="F40" s="471"/>
      <c r="G40" s="472"/>
    </row>
    <row r="41" spans="1:13" ht="12.75" customHeight="1" x14ac:dyDescent="0.2">
      <c r="A41" s="460"/>
      <c r="B41" t="s">
        <v>43</v>
      </c>
      <c r="C41" s="469" t="s">
        <v>44</v>
      </c>
      <c r="D41" s="470"/>
      <c r="E41" s="473" t="s">
        <v>111</v>
      </c>
      <c r="F41" s="473"/>
      <c r="G41" s="474"/>
    </row>
    <row r="42" spans="1:13" ht="12.75" customHeight="1" x14ac:dyDescent="0.2">
      <c r="A42" s="461"/>
      <c r="C42" s="67" t="s">
        <v>21</v>
      </c>
      <c r="D42" s="68" t="s">
        <v>22</v>
      </c>
      <c r="E42" s="473" t="s">
        <v>112</v>
      </c>
      <c r="F42" s="473"/>
      <c r="G42" s="474"/>
    </row>
    <row r="43" spans="1:13" ht="12.75" customHeight="1" x14ac:dyDescent="0.2">
      <c r="A43" s="442"/>
      <c r="B43" s="163" t="str">
        <f>IF(C43&lt;D43,"ALARM!   Breite zu klein", TEXT(C43-D43+0.5,"#0,0")&amp;"                      "&amp;"15   ")</f>
        <v xml:space="preserve">1,0                      15   </v>
      </c>
      <c r="C43" s="160">
        <f>ROUNDDOWN(Q4/500*$H$30, 1)*5</f>
        <v>12</v>
      </c>
      <c r="D43" s="160">
        <f>C44+0.5</f>
        <v>11.5</v>
      </c>
      <c r="E43" s="167"/>
      <c r="F43" s="168" t="str">
        <f>IF(ABS(SUM($A$43:A43))&gt;1, "ALARM","")</f>
        <v/>
      </c>
      <c r="G43" s="169"/>
    </row>
    <row r="44" spans="1:13" ht="12.75" customHeight="1" x14ac:dyDescent="0.2">
      <c r="A44" s="443"/>
      <c r="B44" s="164" t="str">
        <f>IF(C44&lt;D44,"ALARM!   Breite zu klein", TEXT(C44-D44+0.5,"#0,0")&amp;"                      "&amp;"14   ")</f>
        <v xml:space="preserve">0,5                      14   </v>
      </c>
      <c r="C44" s="158">
        <f t="shared" ref="C44:C57" si="5">ROUNDDOWN(Q5/500*$H$30, 1)*5</f>
        <v>11</v>
      </c>
      <c r="D44" s="158">
        <f t="shared" ref="D44:D56" si="6">C45+0.5</f>
        <v>11</v>
      </c>
      <c r="E44" s="170"/>
      <c r="F44" s="153" t="str">
        <f>IF(ABS(SUM($A$43:A44))&gt;1, "ALARM","")</f>
        <v/>
      </c>
      <c r="G44" s="171"/>
    </row>
    <row r="45" spans="1:13" ht="12.75" customHeight="1" x14ac:dyDescent="0.2">
      <c r="A45" s="444"/>
      <c r="B45" s="165" t="str">
        <f>IF(C45&lt;D45,"ALARM!   Breite zu klein", TEXT(C45-D45+0.5,"#0,0")&amp;"                      "&amp;"13   ")</f>
        <v xml:space="preserve">0,5                      13   </v>
      </c>
      <c r="C45" s="161">
        <f t="shared" si="5"/>
        <v>10.5</v>
      </c>
      <c r="D45" s="161">
        <f t="shared" si="6"/>
        <v>10.5</v>
      </c>
      <c r="E45" s="170"/>
      <c r="F45" s="153" t="str">
        <f>IF(ABS(SUM($A$43:A45))&gt;1, "ALARM","")</f>
        <v/>
      </c>
      <c r="G45" s="171"/>
    </row>
    <row r="46" spans="1:13" ht="12.75" customHeight="1" x14ac:dyDescent="0.2">
      <c r="A46" s="443"/>
      <c r="B46" s="163" t="str">
        <f>IF(C46&lt;D46,"ALARM!   Breite zu klein", TEXT(C46-D46+0.5,"#0,0")&amp;"                      "&amp;"12   ")</f>
        <v xml:space="preserve">0,5                      12   </v>
      </c>
      <c r="C46" s="160">
        <f t="shared" si="5"/>
        <v>10</v>
      </c>
      <c r="D46" s="160">
        <f t="shared" si="6"/>
        <v>10</v>
      </c>
      <c r="E46" s="167"/>
      <c r="F46" s="168" t="str">
        <f>IF(ABS(SUM($A$43:A46))&gt;1, "ALARM","")</f>
        <v/>
      </c>
      <c r="G46" s="169"/>
    </row>
    <row r="47" spans="1:13" ht="12.75" customHeight="1" x14ac:dyDescent="0.2">
      <c r="A47" s="443"/>
      <c r="B47" s="164" t="str">
        <f>IF(C47&lt;D47,"ALARM!   Breite zu klein", TEXT(C47-D47+0.5,"#0,0")&amp;"                      "&amp;"11   ")</f>
        <v xml:space="preserve">0,5                      11   </v>
      </c>
      <c r="C47" s="158">
        <f t="shared" si="5"/>
        <v>9.5</v>
      </c>
      <c r="D47" s="158">
        <f t="shared" si="6"/>
        <v>9.5</v>
      </c>
      <c r="E47" s="170"/>
      <c r="F47" s="153" t="str">
        <f>IF(ABS(SUM($A$43:A47))&gt;1, "ALARM","")</f>
        <v/>
      </c>
      <c r="G47" s="171"/>
    </row>
    <row r="48" spans="1:13" ht="12.75" customHeight="1" x14ac:dyDescent="0.2">
      <c r="A48" s="443"/>
      <c r="B48" s="165" t="str">
        <f>IF(C48&lt;D48,"ALARM!   Breite zu klein", TEXT(C48-D48+0.5,"#0,0")&amp;"                      "&amp;"10   ")</f>
        <v xml:space="preserve">1,0                      10   </v>
      </c>
      <c r="C48" s="161">
        <f t="shared" si="5"/>
        <v>9</v>
      </c>
      <c r="D48" s="161">
        <f t="shared" si="6"/>
        <v>8.5</v>
      </c>
      <c r="E48" s="170"/>
      <c r="F48" s="153" t="str">
        <f>IF(ABS(SUM($A$43:A48))&gt;1, "ALARM","")</f>
        <v/>
      </c>
      <c r="G48" s="171"/>
    </row>
    <row r="49" spans="1:7" ht="12.75" customHeight="1" x14ac:dyDescent="0.2">
      <c r="A49" s="442"/>
      <c r="B49" s="163" t="str">
        <f>IF(C49&lt;D49,"ALARM!   Breite zu klein", TEXT(C49-D49+0.5,"#0,0")&amp;"                      "&amp;" 9   ")</f>
        <v xml:space="preserve">0,5                       9   </v>
      </c>
      <c r="C49" s="160">
        <f t="shared" si="5"/>
        <v>8</v>
      </c>
      <c r="D49" s="160">
        <f t="shared" si="6"/>
        <v>8</v>
      </c>
      <c r="E49" s="167"/>
      <c r="F49" s="168" t="str">
        <f>IF(ABS(SUM($A$43:A49))&gt;1, "ALARM","")</f>
        <v/>
      </c>
      <c r="G49" s="169"/>
    </row>
    <row r="50" spans="1:7" ht="12.75" customHeight="1" x14ac:dyDescent="0.2">
      <c r="A50" s="443"/>
      <c r="B50" s="164" t="str">
        <f>IF(C50&lt;D50,"ALARM!   Breite zu klein", TEXT(C50-D50+0.5,"#0,0")&amp;"                      "&amp;" 8   ")</f>
        <v xml:space="preserve">0,5                       8   </v>
      </c>
      <c r="C50" s="158">
        <f t="shared" si="5"/>
        <v>7.5</v>
      </c>
      <c r="D50" s="158">
        <f t="shared" si="6"/>
        <v>7.5</v>
      </c>
      <c r="E50" s="170"/>
      <c r="F50" s="153" t="str">
        <f>IF(ABS(SUM($A$43:A50))&gt;1, "ALARM","")</f>
        <v/>
      </c>
      <c r="G50" s="171"/>
    </row>
    <row r="51" spans="1:7" ht="12.75" customHeight="1" x14ac:dyDescent="0.2">
      <c r="A51" s="444"/>
      <c r="B51" s="165" t="str">
        <f>IF(C51&lt;D51,"ALARM!   Breite zu klein", TEXT(C51-D51+0.5,"#0,0")&amp;"                      "&amp;" 7   ")</f>
        <v xml:space="preserve">0,5                       7   </v>
      </c>
      <c r="C51" s="161">
        <f t="shared" si="5"/>
        <v>7</v>
      </c>
      <c r="D51" s="161">
        <f t="shared" si="6"/>
        <v>7</v>
      </c>
      <c r="E51" s="170"/>
      <c r="F51" s="153" t="str">
        <f>IF(ABS(SUM($A$43:A51))&gt;1, "ALARM","")</f>
        <v/>
      </c>
      <c r="G51" s="171"/>
    </row>
    <row r="52" spans="1:7" ht="12.75" customHeight="1" x14ac:dyDescent="0.2">
      <c r="A52" s="443"/>
      <c r="B52" s="163" t="str">
        <f>IF(C52&lt;D52,"ALARM!   Breite zu klein", TEXT(C52-D52+0.5,"#0,0")&amp;"                      "&amp;" 6   ")</f>
        <v xml:space="preserve">0,5                       6   </v>
      </c>
      <c r="C52" s="160">
        <f t="shared" si="5"/>
        <v>6.5</v>
      </c>
      <c r="D52" s="160">
        <f t="shared" si="6"/>
        <v>6.5</v>
      </c>
      <c r="E52" s="167"/>
      <c r="F52" s="168" t="str">
        <f>IF(ABS(SUM($A$43:A52))&gt;1, "ALARM","")</f>
        <v/>
      </c>
      <c r="G52" s="169"/>
    </row>
    <row r="53" spans="1:7" ht="12.75" customHeight="1" x14ac:dyDescent="0.2">
      <c r="A53" s="443"/>
      <c r="B53" s="164" t="str">
        <f>IF(C53&lt;D53,"ALARM!   Breite zu klein", TEXT(C53-D53+0.5,"#0,0")&amp;"                      "&amp;" 5   ")</f>
        <v xml:space="preserve">1,0                       5   </v>
      </c>
      <c r="C53" s="158">
        <f t="shared" si="5"/>
        <v>6</v>
      </c>
      <c r="D53" s="158">
        <f t="shared" si="6"/>
        <v>5.5</v>
      </c>
      <c r="E53" s="170"/>
      <c r="F53" s="153" t="str">
        <f>IF(ABS(SUM($A$43:A53))&gt;1, "ALARM","")</f>
        <v/>
      </c>
      <c r="G53" s="171"/>
    </row>
    <row r="54" spans="1:7" ht="12.75" customHeight="1" x14ac:dyDescent="0.2">
      <c r="A54" s="443"/>
      <c r="B54" s="165" t="str">
        <f>IF(C54&lt;D54,"ALARM!   Breite zu klein", TEXT(C54-D54+0.5,"#0,0")&amp;"                      "&amp;" 4   ")</f>
        <v xml:space="preserve">0,5                       4   </v>
      </c>
      <c r="C54" s="161">
        <f t="shared" si="5"/>
        <v>5</v>
      </c>
      <c r="D54" s="161">
        <f t="shared" si="6"/>
        <v>5</v>
      </c>
      <c r="E54" s="170"/>
      <c r="F54" s="153" t="str">
        <f>IF(ABS(SUM($A$43:A54))&gt;1, "ALARM","")</f>
        <v/>
      </c>
      <c r="G54" s="171"/>
    </row>
    <row r="55" spans="1:7" ht="12.75" customHeight="1" x14ac:dyDescent="0.2">
      <c r="A55" s="442"/>
      <c r="B55" s="163" t="str">
        <f>IF(C55&lt;D55,"ALARM!   Breite zu klein", TEXT(C55-D55+0.5,"#0,0")&amp;"                      "&amp;" 3   ")</f>
        <v xml:space="preserve">0,5                       3   </v>
      </c>
      <c r="C55" s="160">
        <f t="shared" si="5"/>
        <v>4.5</v>
      </c>
      <c r="D55" s="160">
        <f t="shared" si="6"/>
        <v>4.5</v>
      </c>
      <c r="E55" s="167"/>
      <c r="F55" s="168" t="str">
        <f>IF(ABS(SUM($A$43:A55))&gt;1, "ALARM","")</f>
        <v/>
      </c>
      <c r="G55" s="169"/>
    </row>
    <row r="56" spans="1:7" ht="12.75" customHeight="1" x14ac:dyDescent="0.2">
      <c r="A56" s="443"/>
      <c r="B56" s="164" t="str">
        <f>IF(C56&lt;D56,"ALARM!   Breite zu klein", TEXT(C56-D56+0.5,"#0,0")&amp;"                      "&amp;" 2   ")</f>
        <v xml:space="preserve">1,0                       2   </v>
      </c>
      <c r="C56" s="158">
        <f t="shared" si="5"/>
        <v>4</v>
      </c>
      <c r="D56" s="158">
        <f t="shared" si="6"/>
        <v>3.5</v>
      </c>
      <c r="E56" s="170"/>
      <c r="F56" s="153" t="str">
        <f>IF(ABS(SUM($A$43:A56))&gt;1, "ALARM","")</f>
        <v/>
      </c>
      <c r="G56" s="171"/>
    </row>
    <row r="57" spans="1:7" ht="12.75" customHeight="1" x14ac:dyDescent="0.2">
      <c r="A57" s="444"/>
      <c r="B57" s="165" t="str">
        <f>IF(C57&lt;D57,"ALARM!   Breite zu klein", TEXT(C57-D57+0.5,"#0,0")&amp;"                      "&amp;" 1   ")</f>
        <v xml:space="preserve">1,0                       1   </v>
      </c>
      <c r="C57" s="161">
        <f t="shared" si="5"/>
        <v>3</v>
      </c>
      <c r="D57" s="161">
        <f>ROUNDUP(H34/500*$H$30,1)*5</f>
        <v>2.5</v>
      </c>
      <c r="E57" s="172"/>
      <c r="F57" s="153" t="str">
        <f>IF(ABS(SUM($A$43:A57))&gt;1, "ALARM","")</f>
        <v/>
      </c>
      <c r="G57" s="173"/>
    </row>
    <row r="58" spans="1:7" ht="12.75" customHeight="1" thickBot="1" x14ac:dyDescent="0.25">
      <c r="A58" s="445"/>
      <c r="B58" s="163" t="str">
        <f>IF(C58&lt;D58,"ALARM!   Breite zu klein", TEXT(C58-D58+0.5,"#0,0")&amp;"                      "&amp;" 0   ")</f>
        <v xml:space="preserve">2,5                       0   </v>
      </c>
      <c r="C58" s="159">
        <f>D57-0.5</f>
        <v>2</v>
      </c>
      <c r="D58" s="162">
        <v>0</v>
      </c>
      <c r="E58" s="174"/>
      <c r="F58" s="174" t="str">
        <f>IF(ABS(SUM($A$43:A58))&gt;1, "ALARM","")</f>
        <v/>
      </c>
      <c r="G58" s="175"/>
    </row>
    <row r="59" spans="1:7" x14ac:dyDescent="0.2">
      <c r="B59" s="166"/>
    </row>
  </sheetData>
  <sheetProtection algorithmName="SHA-512" hashValue="0DN8Q+VHbwD6Ci6qpjNN63AlDs8Ts1Sl4AqKf/hOV7R6qS+auPMCBi21vysY5a3fLBKD7qaAS+k9AF228AIGnw==" saltValue="E28qo58lZg4I+BxA8r+1XQ==" spinCount="100000" sheet="1" objects="1" scenarios="1"/>
  <mergeCells count="9">
    <mergeCell ref="C1:E1"/>
    <mergeCell ref="G1:H1"/>
    <mergeCell ref="F5:H5"/>
    <mergeCell ref="A40:A42"/>
    <mergeCell ref="C40:D40"/>
    <mergeCell ref="E40:G40"/>
    <mergeCell ref="C41:D41"/>
    <mergeCell ref="E41:G41"/>
    <mergeCell ref="E42:G42"/>
  </mergeCells>
  <conditionalFormatting sqref="B43:B58">
    <cfRule type="cellIs" dxfId="47" priority="1" operator="equal">
      <formula>"ALARM!   Breite zu klein"</formula>
    </cfRule>
  </conditionalFormatting>
  <conditionalFormatting sqref="D4:D38">
    <cfRule type="expression" dxfId="46" priority="3" stopIfTrue="1">
      <formula>$H$3="Punkte"</formula>
    </cfRule>
    <cfRule type="expression" dxfId="45" priority="4" stopIfTrue="1">
      <formula>$H$3="BE"</formula>
    </cfRule>
  </conditionalFormatting>
  <conditionalFormatting sqref="F43:F58">
    <cfRule type="cellIs" dxfId="44" priority="2" operator="equal">
      <formula>"ALARM"</formula>
    </cfRule>
  </conditionalFormatting>
  <dataValidations disablePrompts="1" count="2">
    <dataValidation type="list" allowBlank="1" showInputMessage="1" showErrorMessage="1" sqref="H3" xr:uid="{00000000-0002-0000-0F00-000000000000}">
      <formula1>"BE,Punkte"</formula1>
    </dataValidation>
    <dataValidation type="list" allowBlank="1" showInputMessage="1" showErrorMessage="1" sqref="H32" xr:uid="{00000000-0002-0000-0F00-000001000000}">
      <formula1>"E,M"</formula1>
    </dataValidation>
  </dataValidations>
  <pageMargins left="0.81" right="0.47" top="0.57999999999999996" bottom="0.5" header="0.4921259845" footer="0.4921259845"/>
  <pageSetup paperSize="9" orientation="portrait" horizontalDpi="1200" verticalDpi="1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9">
    <tabColor indexed="10"/>
  </sheetPr>
  <dimension ref="A1:Q65"/>
  <sheetViews>
    <sheetView tabSelected="1" zoomScale="115" zoomScaleNormal="115" workbookViewId="0"/>
  </sheetViews>
  <sheetFormatPr baseColWidth="10" defaultRowHeight="12.75" x14ac:dyDescent="0.2"/>
  <cols>
    <col min="1" max="1" width="4.42578125" style="1" customWidth="1"/>
    <col min="2" max="2" width="22.140625" style="1" bestFit="1" customWidth="1"/>
    <col min="3" max="4" width="7.7109375" style="1" hidden="1" customWidth="1"/>
    <col min="5" max="8" width="7.7109375" style="1" customWidth="1"/>
    <col min="9" max="10" width="7.28515625" style="1" customWidth="1"/>
    <col min="11" max="11" width="7.7109375" style="1" hidden="1" customWidth="1"/>
    <col min="12" max="12" width="7.7109375" style="1" customWidth="1"/>
    <col min="13" max="17" width="11.42578125" style="1" hidden="1" customWidth="1"/>
    <col min="18" max="16384" width="11.42578125" style="1"/>
  </cols>
  <sheetData>
    <row r="1" spans="1:17" ht="18" x14ac:dyDescent="0.25">
      <c r="B1" s="355" t="str">
        <f>"Abschlussprüfung 2023"</f>
        <v>Abschlussprüfung 2023</v>
      </c>
      <c r="C1" s="355"/>
      <c r="D1" s="355"/>
      <c r="E1" s="343"/>
      <c r="F1" s="343"/>
      <c r="I1" s="356"/>
    </row>
    <row r="2" spans="1:17" x14ac:dyDescent="0.2">
      <c r="B2" s="1" t="str">
        <f>"Fach: "&amp;'1. Halbjahr'!E1</f>
        <v xml:space="preserve">Fach: </v>
      </c>
      <c r="E2" s="489"/>
      <c r="F2" s="489"/>
      <c r="G2" s="489"/>
      <c r="H2" s="489"/>
    </row>
    <row r="3" spans="1:17" x14ac:dyDescent="0.2">
      <c r="B3" s="1" t="str">
        <f xml:space="preserve"> "Klasse: "&amp;'1. Halbjahr'!B1</f>
        <v xml:space="preserve">Klasse: </v>
      </c>
      <c r="E3" s="357" t="str">
        <f>'1. Halbjahr'!I1 &amp;" "&amp;'1. Halbjahr'!K1</f>
        <v xml:space="preserve">Lehrer/in: </v>
      </c>
      <c r="F3" s="357"/>
      <c r="G3" s="357"/>
      <c r="H3" s="357"/>
      <c r="M3" s="27" t="s">
        <v>65</v>
      </c>
      <c r="N3"/>
      <c r="O3" s="154" t="s">
        <v>66</v>
      </c>
      <c r="P3"/>
      <c r="Q3" s="154" t="s">
        <v>67</v>
      </c>
    </row>
    <row r="4" spans="1:17" ht="13.5" thickBot="1" x14ac:dyDescent="0.25">
      <c r="C4" s="320"/>
      <c r="D4" s="320"/>
      <c r="E4" s="334"/>
      <c r="F4" s="334"/>
      <c r="G4" s="334"/>
      <c r="H4" s="334"/>
      <c r="I4" s="320"/>
      <c r="J4" s="320"/>
      <c r="K4" s="320"/>
      <c r="M4" s="157"/>
      <c r="N4"/>
      <c r="O4" s="155">
        <f>IF($E$43="M", $I$44+12*(100-$I$44)/12, $I$44+30*(100-$I$44)/30)</f>
        <v>100</v>
      </c>
      <c r="P4"/>
      <c r="Q4">
        <v>100</v>
      </c>
    </row>
    <row r="5" spans="1:17" ht="13.5" thickBot="1" x14ac:dyDescent="0.25">
      <c r="A5" s="2"/>
      <c r="B5" s="328"/>
      <c r="C5" s="490"/>
      <c r="D5" s="490"/>
      <c r="E5" s="491"/>
      <c r="F5" s="487" t="s">
        <v>106</v>
      </c>
      <c r="G5" s="488"/>
      <c r="H5" s="394" t="s">
        <v>107</v>
      </c>
      <c r="I5" s="492" t="s">
        <v>12</v>
      </c>
      <c r="J5" s="493"/>
      <c r="K5" s="348" t="s">
        <v>12</v>
      </c>
      <c r="M5" s="157"/>
      <c r="N5"/>
      <c r="O5" s="155">
        <f>IF($E$43="M", $I$44+11*(100-$I$44)/12, $I$44+27*(100-$I$44)/30)</f>
        <v>94.916666666666657</v>
      </c>
      <c r="P5" s="56">
        <v>15</v>
      </c>
      <c r="Q5" s="156">
        <f>(O5-100*SUM($D$50:D50)/$E$44)</f>
        <v>94.916666666666657</v>
      </c>
    </row>
    <row r="6" spans="1:17" x14ac:dyDescent="0.2">
      <c r="A6" s="3">
        <f>I1SA!A4</f>
        <v>1</v>
      </c>
      <c r="B6" s="328" t="str">
        <f>IF('1. Halbjahr'!B4&lt;&gt;"", '1. Halbjahr'!B4, "")</f>
        <v/>
      </c>
      <c r="C6" s="337"/>
      <c r="D6" s="52"/>
      <c r="E6" s="338"/>
      <c r="F6" s="336" t="str">
        <f>IF(APRohpunkte!AG5="",'Eingabe Abitur'!Q11,APRohpunkte!AG5)</f>
        <v/>
      </c>
      <c r="G6" s="35" t="str">
        <f t="shared" ref="G6:G40" ca="1" si="0">IF(F6="","",IF($E$42="BE",INDIRECT("P"&amp;MATCH(M6,$Q$4:$Q$20,-1)+4),F6))</f>
        <v/>
      </c>
      <c r="H6" s="335" t="str">
        <f>'Eingabe Abitur'!X11</f>
        <v/>
      </c>
      <c r="I6" s="340" t="str">
        <f t="shared" ref="I6:I40" ca="1" si="1">IF(H6="",G6,IF(G6="","",(G6*2+H6)/3))</f>
        <v/>
      </c>
      <c r="J6" s="352" t="str">
        <f ca="1">IF(I6="","", IF(I6&lt;1, 0,ROUND(I6,0)))</f>
        <v/>
      </c>
      <c r="K6" s="349" t="str">
        <f ca="1">IF(J6="","",((SUM(C6:E6)+IF(diNo!D4="FOS",3,2)*J6))/(COUNT(C6:E6)+IF(diNo!D4="FOS",3,2)))</f>
        <v/>
      </c>
      <c r="M6" s="157" t="str">
        <f>IF(F6="","",IF($E$42="BE", 100*ROUNDUP(F6, 0) / $E$44))</f>
        <v/>
      </c>
      <c r="N6"/>
      <c r="O6" s="155">
        <f>IF($E$43="M", $I$44+10*(100-$I$44)/12,$I$44+24*(100-$I$44)/30)</f>
        <v>89.833333333333343</v>
      </c>
      <c r="P6" s="56">
        <v>14</v>
      </c>
      <c r="Q6" s="156">
        <f>(O6-100*SUM($D$50:D51)/$E$44)</f>
        <v>89.833333333333343</v>
      </c>
    </row>
    <row r="7" spans="1:17" x14ac:dyDescent="0.2">
      <c r="A7" s="3">
        <f>I1SA!A5</f>
        <v>2</v>
      </c>
      <c r="B7" s="328" t="str">
        <f>IF('1. Halbjahr'!B5&lt;&gt;"", '1. Halbjahr'!B5, "")</f>
        <v/>
      </c>
      <c r="C7" s="326"/>
      <c r="D7" s="2"/>
      <c r="E7" s="332"/>
      <c r="F7" s="330" t="str">
        <f>IF(APRohpunkte!AG6="",'Eingabe Abitur'!Q13,APRohpunkte!AG6)</f>
        <v/>
      </c>
      <c r="G7" s="3" t="str">
        <f t="shared" ca="1" si="0"/>
        <v/>
      </c>
      <c r="H7" s="335" t="str">
        <f>'Eingabe Abitur'!X13</f>
        <v/>
      </c>
      <c r="I7" s="340" t="str">
        <f t="shared" ca="1" si="1"/>
        <v/>
      </c>
      <c r="J7" s="352" t="str">
        <f t="shared" ref="J7:J40" ca="1" si="2">IF(I7="","", IF(I7&lt;1, 0,ROUND(I7,0)))</f>
        <v/>
      </c>
      <c r="K7" s="349" t="str">
        <f ca="1">IF(J7="","",((SUM(C7:E7)+IF(diNo!D5="FOS",3,2)*J7))/(COUNT(C7:E7)+IF(diNo!D5="FOS",3,2)))</f>
        <v/>
      </c>
      <c r="M7" s="157" t="str">
        <f t="shared" ref="M7:M40" si="3">IF(F7="","",IF($E$42="BE", 100*ROUNDUP(F7, 0) / $E$44))</f>
        <v/>
      </c>
      <c r="N7"/>
      <c r="O7" s="155">
        <f>IF($E$43="M", $I$44+9*(100-$I$44)/12, $I$44+21*(100-$I$44)/30)</f>
        <v>84.75</v>
      </c>
      <c r="P7" s="56">
        <v>13</v>
      </c>
      <c r="Q7" s="156">
        <f>(O7-100*SUM($D$50:D52)/$E$44)</f>
        <v>84.75</v>
      </c>
    </row>
    <row r="8" spans="1:17" x14ac:dyDescent="0.2">
      <c r="A8" s="3">
        <f>I1SA!A6</f>
        <v>3</v>
      </c>
      <c r="B8" s="328" t="str">
        <f>IF('1. Halbjahr'!B6&lt;&gt;"", '1. Halbjahr'!B6, "")</f>
        <v/>
      </c>
      <c r="C8" s="326"/>
      <c r="D8" s="2"/>
      <c r="E8" s="332"/>
      <c r="F8" s="330" t="str">
        <f>IF(APRohpunkte!AG7="",'Eingabe Abitur'!Q15,APRohpunkte!AG7)</f>
        <v/>
      </c>
      <c r="G8" s="3" t="str">
        <f t="shared" ca="1" si="0"/>
        <v/>
      </c>
      <c r="H8" s="335" t="str">
        <f>'Eingabe Abitur'!X15</f>
        <v/>
      </c>
      <c r="I8" s="340" t="str">
        <f ca="1">IF(H8="",G8,IF(G8="","",(G8*2+H8)/3))</f>
        <v/>
      </c>
      <c r="J8" s="352" t="str">
        <f t="shared" ca="1" si="2"/>
        <v/>
      </c>
      <c r="K8" s="349" t="str">
        <f ca="1">IF(J8="","",((SUM(C8:E8)+IF(diNo!D6="FOS",3,2)*J8))/(COUNT(C8:E8)+IF(diNo!D6="FOS",3,2)))</f>
        <v/>
      </c>
      <c r="M8" s="157" t="str">
        <f t="shared" si="3"/>
        <v/>
      </c>
      <c r="N8"/>
      <c r="O8" s="155">
        <f>IF($E$43="M", $I$44+8*(100-$I$44)/12,$I$44+18*(100-$I$44)/30)</f>
        <v>79.666666666666657</v>
      </c>
      <c r="P8" s="56">
        <v>12</v>
      </c>
      <c r="Q8" s="156">
        <f>(O8-100*SUM($D$50:D53)/$E$44)</f>
        <v>79.666666666666657</v>
      </c>
    </row>
    <row r="9" spans="1:17" x14ac:dyDescent="0.2">
      <c r="A9" s="3">
        <f>I1SA!A7</f>
        <v>4</v>
      </c>
      <c r="B9" s="328" t="str">
        <f>IF('1. Halbjahr'!B7&lt;&gt;"", '1. Halbjahr'!B7, "")</f>
        <v/>
      </c>
      <c r="C9" s="326"/>
      <c r="D9" s="2"/>
      <c r="E9" s="332"/>
      <c r="F9" s="330" t="str">
        <f>IF(APRohpunkte!AG8="",'Eingabe Abitur'!Q17,APRohpunkte!AG8)</f>
        <v/>
      </c>
      <c r="G9" s="3" t="str">
        <f t="shared" ca="1" si="0"/>
        <v/>
      </c>
      <c r="H9" s="335" t="str">
        <f>'Eingabe Abitur'!X17</f>
        <v/>
      </c>
      <c r="I9" s="342" t="str">
        <f t="shared" ca="1" si="1"/>
        <v/>
      </c>
      <c r="J9" s="352" t="str">
        <f t="shared" ca="1" si="2"/>
        <v/>
      </c>
      <c r="K9" s="349" t="str">
        <f ca="1">IF(J9="","",((SUM(C9:E9)+IF(diNo!D7="FOS",3,2)*J9))/(COUNT(C9:E9)+IF(diNo!D7="FOS",3,2)))</f>
        <v/>
      </c>
      <c r="M9" s="157" t="str">
        <f t="shared" si="3"/>
        <v/>
      </c>
      <c r="N9"/>
      <c r="O9" s="155">
        <f>IF($E$43="M", $I$44+7*(100-$I$44)/12, $I$44+15*(100-$I$44)/30)</f>
        <v>74.583333333333343</v>
      </c>
      <c r="P9" s="56">
        <v>11</v>
      </c>
      <c r="Q9" s="156">
        <f>(O9-100*SUM($D$50:D54)/$E$44)</f>
        <v>74.583333333333343</v>
      </c>
    </row>
    <row r="10" spans="1:17" x14ac:dyDescent="0.2">
      <c r="A10" s="3">
        <f>I1SA!A8</f>
        <v>5</v>
      </c>
      <c r="B10" s="328" t="str">
        <f>IF('1. Halbjahr'!B8&lt;&gt;"", '1. Halbjahr'!B8, "")</f>
        <v/>
      </c>
      <c r="C10" s="326"/>
      <c r="D10" s="2"/>
      <c r="E10" s="332"/>
      <c r="F10" s="330" t="str">
        <f>IF(APRohpunkte!AG9="",'Eingabe Abitur'!Q19,APRohpunkte!AG9)</f>
        <v/>
      </c>
      <c r="G10" s="3" t="str">
        <f t="shared" ca="1" si="0"/>
        <v/>
      </c>
      <c r="H10" s="335" t="str">
        <f>'Eingabe Abitur'!X19</f>
        <v/>
      </c>
      <c r="I10" s="339" t="str">
        <f t="shared" ca="1" si="1"/>
        <v/>
      </c>
      <c r="J10" s="352" t="str">
        <f t="shared" ca="1" si="2"/>
        <v/>
      </c>
      <c r="K10" s="349" t="str">
        <f ca="1">IF(J10="","",((SUM(C10:E10)+IF(diNo!D8="FOS",3,2)*J10))/(COUNT(C10:E10)+IF(diNo!D8="FOS",3,2)))</f>
        <v/>
      </c>
      <c r="M10" s="157" t="str">
        <f t="shared" si="3"/>
        <v/>
      </c>
      <c r="N10"/>
      <c r="O10" s="155">
        <f>IF($E$43="M", $I$44+6*(100-$I$44)/12, $I$44+12*(100-$I$44)/30)</f>
        <v>69.5</v>
      </c>
      <c r="P10" s="56">
        <v>10</v>
      </c>
      <c r="Q10" s="156">
        <f>(O10-100*SUM($D$50:D55)/$E$44)</f>
        <v>69.5</v>
      </c>
    </row>
    <row r="11" spans="1:17" x14ac:dyDescent="0.2">
      <c r="A11" s="3">
        <f>I1SA!A9</f>
        <v>6</v>
      </c>
      <c r="B11" s="328" t="str">
        <f>IF('1. Halbjahr'!B9&lt;&gt;"", '1. Halbjahr'!B9, "")</f>
        <v/>
      </c>
      <c r="C11" s="326"/>
      <c r="D11" s="2"/>
      <c r="E11" s="332"/>
      <c r="F11" s="330" t="str">
        <f>IF(APRohpunkte!AG10="",'Eingabe Abitur'!Q21,APRohpunkte!AG10)</f>
        <v/>
      </c>
      <c r="G11" s="3" t="str">
        <f t="shared" ca="1" si="0"/>
        <v/>
      </c>
      <c r="H11" s="335" t="str">
        <f>'Eingabe Abitur'!X21</f>
        <v/>
      </c>
      <c r="I11" s="340" t="str">
        <f t="shared" ca="1" si="1"/>
        <v/>
      </c>
      <c r="J11" s="352" t="str">
        <f t="shared" ca="1" si="2"/>
        <v/>
      </c>
      <c r="K11" s="349" t="str">
        <f ca="1">IF(J11="","",((SUM(C11:E11)+IF(diNo!D9="FOS",3,2)*J11))/(COUNT(C11:E11)+IF(diNo!D9="FOS",3,2)))</f>
        <v/>
      </c>
      <c r="M11" s="157" t="str">
        <f t="shared" si="3"/>
        <v/>
      </c>
      <c r="N11"/>
      <c r="O11" s="155">
        <f>IF($E$43="M", $I$44+5*(100-$I$44)/12, $I$44+10*(100-$I$44)/30)</f>
        <v>64.416666666666671</v>
      </c>
      <c r="P11" s="56">
        <v>9</v>
      </c>
      <c r="Q11" s="156">
        <f>(O11-100*SUM($D$50:D56)/$E$44)</f>
        <v>64.416666666666671</v>
      </c>
    </row>
    <row r="12" spans="1:17" x14ac:dyDescent="0.2">
      <c r="A12" s="3">
        <f>I1SA!A10</f>
        <v>7</v>
      </c>
      <c r="B12" s="328" t="str">
        <f>IF('1. Halbjahr'!B10&lt;&gt;"", '1. Halbjahr'!B10, "")</f>
        <v/>
      </c>
      <c r="C12" s="326"/>
      <c r="D12" s="2"/>
      <c r="E12" s="332"/>
      <c r="F12" s="330" t="str">
        <f>IF(APRohpunkte!AG11="",'Eingabe Abitur'!Q23,APRohpunkte!AG11)</f>
        <v/>
      </c>
      <c r="G12" s="3" t="str">
        <f t="shared" ca="1" si="0"/>
        <v/>
      </c>
      <c r="H12" s="335" t="str">
        <f>'Eingabe Abitur'!X23</f>
        <v/>
      </c>
      <c r="I12" s="340" t="str">
        <f t="shared" ca="1" si="1"/>
        <v/>
      </c>
      <c r="J12" s="352" t="str">
        <f t="shared" ca="1" si="2"/>
        <v/>
      </c>
      <c r="K12" s="349" t="str">
        <f ca="1">IF(J12="","",((SUM(C12:E12)+IF(diNo!D10="FOS",3,2)*J12))/(COUNT(C12:E12)+IF(diNo!D10="FOS",3,2)))</f>
        <v/>
      </c>
      <c r="M12" s="157" t="str">
        <f t="shared" si="3"/>
        <v/>
      </c>
      <c r="N12"/>
      <c r="O12" s="155">
        <f>IF($E$43="M", $I$44+4*(100-$I$44)/12, $I$44+8*(100-$I$44)/30)</f>
        <v>59.333333333333329</v>
      </c>
      <c r="P12" s="56">
        <v>8</v>
      </c>
      <c r="Q12" s="156">
        <f>(O12-100*SUM($D$50:D57)/$E$44)</f>
        <v>59.333333333333329</v>
      </c>
    </row>
    <row r="13" spans="1:17" x14ac:dyDescent="0.2">
      <c r="A13" s="3">
        <f>I1SA!A11</f>
        <v>8</v>
      </c>
      <c r="B13" s="328" t="str">
        <f>IF('1. Halbjahr'!B11&lt;&gt;"", '1. Halbjahr'!B11, "")</f>
        <v/>
      </c>
      <c r="C13" s="326"/>
      <c r="D13" s="2"/>
      <c r="E13" s="332"/>
      <c r="F13" s="330" t="str">
        <f>IF(APRohpunkte!AG12="",'Eingabe Abitur'!Q25,APRohpunkte!AG12)</f>
        <v/>
      </c>
      <c r="G13" s="3" t="str">
        <f t="shared" ca="1" si="0"/>
        <v/>
      </c>
      <c r="H13" s="335" t="str">
        <f>'Eingabe Abitur'!X25</f>
        <v/>
      </c>
      <c r="I13" s="342" t="str">
        <f t="shared" ca="1" si="1"/>
        <v/>
      </c>
      <c r="J13" s="352" t="str">
        <f t="shared" ca="1" si="2"/>
        <v/>
      </c>
      <c r="K13" s="349" t="str">
        <f ca="1">IF(J13="","",((SUM(C13:E13)+IF(diNo!D11="FOS",3,2)*J13))/(COUNT(C13:E13)+IF(diNo!D11="FOS",3,2)))</f>
        <v/>
      </c>
      <c r="M13" s="157" t="str">
        <f t="shared" si="3"/>
        <v/>
      </c>
      <c r="N13"/>
      <c r="O13" s="155">
        <f>IF($E$43="M", $I$44+3*(100-$I$44)/12, $I$44+6*(100-$I$44)/30)</f>
        <v>54.25</v>
      </c>
      <c r="P13" s="56">
        <v>7</v>
      </c>
      <c r="Q13" s="156">
        <f>(O13-100*SUM($D$50:D58)/$E$44)</f>
        <v>54.25</v>
      </c>
    </row>
    <row r="14" spans="1:17" x14ac:dyDescent="0.2">
      <c r="A14" s="3">
        <f>I1SA!A12</f>
        <v>9</v>
      </c>
      <c r="B14" s="328" t="str">
        <f>IF('1. Halbjahr'!B12&lt;&gt;"", '1. Halbjahr'!B12, "")</f>
        <v/>
      </c>
      <c r="C14" s="326"/>
      <c r="D14" s="2"/>
      <c r="E14" s="332"/>
      <c r="F14" s="330" t="str">
        <f>IF(APRohpunkte!AG13="",'Eingabe Abitur'!Q27,APRohpunkte!AG13)</f>
        <v/>
      </c>
      <c r="G14" s="3" t="str">
        <f t="shared" ca="1" si="0"/>
        <v/>
      </c>
      <c r="H14" s="335" t="str">
        <f>'Eingabe Abitur'!X27</f>
        <v/>
      </c>
      <c r="I14" s="339" t="str">
        <f t="shared" ca="1" si="1"/>
        <v/>
      </c>
      <c r="J14" s="352" t="str">
        <f t="shared" ca="1" si="2"/>
        <v/>
      </c>
      <c r="K14" s="349" t="str">
        <f ca="1">IF(J14="","",((SUM(C14:E14)+IF(diNo!D12="FOS",3,2)*J14))/(COUNT(C14:E14)+IF(diNo!D12="FOS",3,2)))</f>
        <v/>
      </c>
      <c r="M14" s="157" t="str">
        <f t="shared" si="3"/>
        <v/>
      </c>
      <c r="N14"/>
      <c r="O14" s="155">
        <f>IF($E$43="M", $I$44+2*(100-$I$44)/12, $I$44+4*(100-$I$44)/30)</f>
        <v>49.166666666666664</v>
      </c>
      <c r="P14" s="56">
        <v>6</v>
      </c>
      <c r="Q14" s="156">
        <f>(O14-100*SUM($D$50:D59)/$E$44)</f>
        <v>49.166666666666664</v>
      </c>
    </row>
    <row r="15" spans="1:17" x14ac:dyDescent="0.2">
      <c r="A15" s="3">
        <f>I1SA!A13</f>
        <v>10</v>
      </c>
      <c r="B15" s="328" t="str">
        <f>IF('1. Halbjahr'!B13&lt;&gt;"", '1. Halbjahr'!B13, "")</f>
        <v/>
      </c>
      <c r="C15" s="326"/>
      <c r="D15" s="2"/>
      <c r="E15" s="332"/>
      <c r="F15" s="330" t="str">
        <f>IF(APRohpunkte!AG14="",'Eingabe Abitur'!Q29,APRohpunkte!AG14)</f>
        <v/>
      </c>
      <c r="G15" s="3" t="str">
        <f t="shared" ca="1" si="0"/>
        <v/>
      </c>
      <c r="H15" s="335" t="str">
        <f>'Eingabe Abitur'!X29</f>
        <v/>
      </c>
      <c r="I15" s="340" t="str">
        <f t="shared" ca="1" si="1"/>
        <v/>
      </c>
      <c r="J15" s="352" t="str">
        <f t="shared" ca="1" si="2"/>
        <v/>
      </c>
      <c r="K15" s="349" t="str">
        <f ca="1">IF(J15="","",((SUM(C15:E15)+IF(diNo!D13="FOS",3,2)*J15))/(COUNT(C15:E15)+IF(diNo!D13="FOS",3,2)))</f>
        <v/>
      </c>
      <c r="M15" s="157" t="str">
        <f t="shared" si="3"/>
        <v/>
      </c>
      <c r="N15"/>
      <c r="O15" s="155">
        <f>IF($E$43="M",$I$44+1*(100-$I$44)/12, $I$44+2*(100-$I$44)/30)</f>
        <v>44.083333333333336</v>
      </c>
      <c r="P15" s="56">
        <v>5</v>
      </c>
      <c r="Q15" s="156">
        <f>(O15-100*SUM($D$50:D60)/$E$44)</f>
        <v>44.083333333333336</v>
      </c>
    </row>
    <row r="16" spans="1:17" x14ac:dyDescent="0.2">
      <c r="A16" s="3">
        <f>I1SA!A14</f>
        <v>11</v>
      </c>
      <c r="B16" s="328" t="str">
        <f>IF('1. Halbjahr'!B14&lt;&gt;"", '1. Halbjahr'!B14, "")</f>
        <v/>
      </c>
      <c r="C16" s="326"/>
      <c r="D16" s="2"/>
      <c r="E16" s="332"/>
      <c r="F16" s="330" t="str">
        <f>IF(APRohpunkte!AG15="",'Eingabe Abitur'!Q31,APRohpunkte!AG15)</f>
        <v/>
      </c>
      <c r="G16" s="3" t="str">
        <f t="shared" ca="1" si="0"/>
        <v/>
      </c>
      <c r="H16" s="335" t="str">
        <f>'Eingabe Abitur'!X31</f>
        <v/>
      </c>
      <c r="I16" s="342" t="str">
        <f t="shared" ca="1" si="1"/>
        <v/>
      </c>
      <c r="J16" s="352" t="str">
        <f t="shared" ca="1" si="2"/>
        <v/>
      </c>
      <c r="K16" s="349" t="str">
        <f ca="1">IF(J16="","",((SUM(C16:E16)+IF(diNo!D14="FOS",3,2)*J16))/(COUNT(C16:E16)+IF(diNo!D14="FOS",3,2)))</f>
        <v/>
      </c>
      <c r="M16" s="157" t="str">
        <f t="shared" si="3"/>
        <v/>
      </c>
      <c r="N16"/>
      <c r="O16" s="155">
        <f>$I$44</f>
        <v>39</v>
      </c>
      <c r="P16" s="56">
        <v>4</v>
      </c>
      <c r="Q16" s="156">
        <f>(O16-100*SUM($D$50:D61)/$E$44)</f>
        <v>39</v>
      </c>
    </row>
    <row r="17" spans="1:17" x14ac:dyDescent="0.2">
      <c r="A17" s="3">
        <f>I1SA!A15</f>
        <v>12</v>
      </c>
      <c r="B17" s="328" t="str">
        <f>IF('1. Halbjahr'!B15&lt;&gt;"", '1. Halbjahr'!B15, "")</f>
        <v/>
      </c>
      <c r="C17" s="326"/>
      <c r="D17" s="2"/>
      <c r="E17" s="332"/>
      <c r="F17" s="330" t="str">
        <f>IF(APRohpunkte!AG16="",'Eingabe Abitur'!Q33,APRohpunkte!AG16)</f>
        <v/>
      </c>
      <c r="G17" s="3" t="str">
        <f t="shared" ca="1" si="0"/>
        <v/>
      </c>
      <c r="H17" s="335" t="str">
        <f>'Eingabe Abitur'!X33</f>
        <v/>
      </c>
      <c r="I17" s="339" t="str">
        <f t="shared" ca="1" si="1"/>
        <v/>
      </c>
      <c r="J17" s="352" t="str">
        <f t="shared" ca="1" si="2"/>
        <v/>
      </c>
      <c r="K17" s="349" t="str">
        <f ca="1">IF(J17="","",((SUM(C17:E17)+IF(diNo!D15="FOS",3,2)*J17))/(COUNT(C17:E17)+IF(diNo!D15="FOS",3,2)))</f>
        <v/>
      </c>
      <c r="M17" s="157" t="str">
        <f t="shared" si="3"/>
        <v/>
      </c>
      <c r="N17"/>
      <c r="O17" s="155">
        <f>($G$44+2*($I$44-$G$44)/3)</f>
        <v>32.666666666666664</v>
      </c>
      <c r="P17" s="56">
        <v>3</v>
      </c>
      <c r="Q17" s="156">
        <f>(O17-100*SUM($D$50:D62)/$E$44)</f>
        <v>32.666666666666664</v>
      </c>
    </row>
    <row r="18" spans="1:17" x14ac:dyDescent="0.2">
      <c r="A18" s="3">
        <f>I1SA!A16</f>
        <v>13</v>
      </c>
      <c r="B18" s="328" t="str">
        <f>IF('1. Halbjahr'!B16&lt;&gt;"", '1. Halbjahr'!B16, "")</f>
        <v/>
      </c>
      <c r="C18" s="326"/>
      <c r="D18" s="2"/>
      <c r="E18" s="332"/>
      <c r="F18" s="330" t="str">
        <f>IF(APRohpunkte!AG17="",'Eingabe Abitur'!Q35,APRohpunkte!AG17)</f>
        <v/>
      </c>
      <c r="G18" s="3" t="str">
        <f t="shared" ca="1" si="0"/>
        <v/>
      </c>
      <c r="H18" s="335" t="str">
        <f>'Eingabe Abitur'!X35</f>
        <v/>
      </c>
      <c r="I18" s="339" t="str">
        <f t="shared" ca="1" si="1"/>
        <v/>
      </c>
      <c r="J18" s="352" t="str">
        <f t="shared" ca="1" si="2"/>
        <v/>
      </c>
      <c r="K18" s="349" t="str">
        <f ca="1">IF(J18="","",((SUM(C18:E18)+IF(diNo!D16="FOS",3,2)*J18))/(COUNT(C18:E18)+IF(diNo!D16="FOS",3,2)))</f>
        <v/>
      </c>
      <c r="M18" s="157" t="str">
        <f t="shared" si="3"/>
        <v/>
      </c>
      <c r="N18"/>
      <c r="O18" s="155">
        <f>($G$44+($I$44-$G$44)/3)</f>
        <v>26.333333333333332</v>
      </c>
      <c r="P18" s="56">
        <v>2</v>
      </c>
      <c r="Q18" s="156">
        <f>(O18-100*SUM($D$50:D63)/$E$44)</f>
        <v>26.333333333333332</v>
      </c>
    </row>
    <row r="19" spans="1:17" x14ac:dyDescent="0.2">
      <c r="A19" s="3">
        <f>I1SA!A17</f>
        <v>14</v>
      </c>
      <c r="B19" s="328" t="str">
        <f>IF('1. Halbjahr'!B17&lt;&gt;"", '1. Halbjahr'!B17, "")</f>
        <v/>
      </c>
      <c r="C19" s="326"/>
      <c r="D19" s="2"/>
      <c r="E19" s="332"/>
      <c r="F19" s="330" t="str">
        <f>IF(APRohpunkte!AG18="",'Eingabe Abitur'!Q37,APRohpunkte!AG18)</f>
        <v/>
      </c>
      <c r="G19" s="3" t="str">
        <f t="shared" ca="1" si="0"/>
        <v/>
      </c>
      <c r="H19" s="335" t="str">
        <f>'Eingabe Abitur'!X37</f>
        <v/>
      </c>
      <c r="I19" s="339" t="str">
        <f t="shared" ca="1" si="1"/>
        <v/>
      </c>
      <c r="J19" s="352" t="str">
        <f t="shared" ca="1" si="2"/>
        <v/>
      </c>
      <c r="K19" s="349" t="str">
        <f ca="1">IF(J19="","",((SUM(C19:E19)+IF(diNo!D17="FOS",3,2)*J19))/(COUNT(C19:E19)+IF(diNo!D17="FOS",3,2)))</f>
        <v/>
      </c>
      <c r="M19" s="157" t="str">
        <f t="shared" si="3"/>
        <v/>
      </c>
      <c r="N19"/>
      <c r="O19" s="155">
        <f>$G$44-0.1</f>
        <v>19.899999999999999</v>
      </c>
      <c r="P19" s="56">
        <v>1</v>
      </c>
      <c r="Q19" s="156">
        <f>(O19-100*SUM($D$50:D64)/$E$44)</f>
        <v>19.899999999999999</v>
      </c>
    </row>
    <row r="20" spans="1:17" x14ac:dyDescent="0.2">
      <c r="A20" s="3">
        <f>I1SA!A18</f>
        <v>15</v>
      </c>
      <c r="B20" s="328" t="str">
        <f>IF('1. Halbjahr'!B18&lt;&gt;"", '1. Halbjahr'!B18, "")</f>
        <v/>
      </c>
      <c r="C20" s="326"/>
      <c r="D20" s="2"/>
      <c r="E20" s="332"/>
      <c r="F20" s="330" t="str">
        <f>IF(APRohpunkte!AG19="",'Eingabe Abitur'!Q39,APRohpunkte!AG19)</f>
        <v/>
      </c>
      <c r="G20" s="3" t="str">
        <f t="shared" ca="1" si="0"/>
        <v/>
      </c>
      <c r="H20" s="335" t="str">
        <f>'Eingabe Abitur'!X39</f>
        <v/>
      </c>
      <c r="I20" s="340" t="str">
        <f t="shared" ca="1" si="1"/>
        <v/>
      </c>
      <c r="J20" s="352" t="str">
        <f t="shared" ca="1" si="2"/>
        <v/>
      </c>
      <c r="K20" s="349" t="str">
        <f ca="1">IF(J20="","",((SUM(C20:E20)+IF(diNo!D18="FOS",3,2)*J20))/(COUNT(C20:E20)+IF(diNo!D18="FOS",3,2)))</f>
        <v/>
      </c>
      <c r="M20" s="157" t="str">
        <f t="shared" si="3"/>
        <v/>
      </c>
      <c r="N20"/>
      <c r="O20" s="155">
        <v>0</v>
      </c>
      <c r="P20" s="56">
        <v>0</v>
      </c>
      <c r="Q20">
        <v>0</v>
      </c>
    </row>
    <row r="21" spans="1:17" ht="11.25" customHeight="1" x14ac:dyDescent="0.2">
      <c r="A21" s="3">
        <f>I1SA!A19</f>
        <v>16</v>
      </c>
      <c r="B21" s="328" t="str">
        <f>IF('1. Halbjahr'!B19&lt;&gt;"", '1. Halbjahr'!B19, "")</f>
        <v/>
      </c>
      <c r="C21" s="326"/>
      <c r="D21" s="2"/>
      <c r="E21" s="332"/>
      <c r="F21" s="330" t="str">
        <f>IF(APRohpunkte!AG20="",'Eingabe Abitur'!Q41,APRohpunkte!AG20)</f>
        <v/>
      </c>
      <c r="G21" s="3" t="str">
        <f t="shared" ca="1" si="0"/>
        <v/>
      </c>
      <c r="H21" s="335" t="str">
        <f>'Eingabe Abitur'!X41</f>
        <v/>
      </c>
      <c r="I21" s="342" t="str">
        <f t="shared" ca="1" si="1"/>
        <v/>
      </c>
      <c r="J21" s="352" t="str">
        <f t="shared" ca="1" si="2"/>
        <v/>
      </c>
      <c r="K21" s="349" t="str">
        <f ca="1">IF(J21="","",((SUM(C21:E21)+IF(diNo!D19="FOS",3,2)*J21))/(COUNT(C21:E21)+IF(diNo!D19="FOS",3,2)))</f>
        <v/>
      </c>
      <c r="M21" s="157" t="str">
        <f t="shared" si="3"/>
        <v/>
      </c>
    </row>
    <row r="22" spans="1:17" x14ac:dyDescent="0.2">
      <c r="A22" s="3">
        <f>I1SA!A20</f>
        <v>17</v>
      </c>
      <c r="B22" s="328" t="str">
        <f>IF('1. Halbjahr'!B20&lt;&gt;"", '1. Halbjahr'!B20, "")</f>
        <v/>
      </c>
      <c r="C22" s="326"/>
      <c r="D22" s="2"/>
      <c r="E22" s="332"/>
      <c r="F22" s="330" t="str">
        <f>IF(APRohpunkte!AG21="",'Eingabe Abitur'!Q43,APRohpunkte!AG21)</f>
        <v/>
      </c>
      <c r="G22" s="3" t="str">
        <f t="shared" ca="1" si="0"/>
        <v/>
      </c>
      <c r="H22" s="335" t="str">
        <f>'Eingabe Abitur'!X43</f>
        <v/>
      </c>
      <c r="I22" s="340" t="str">
        <f t="shared" ca="1" si="1"/>
        <v/>
      </c>
      <c r="J22" s="352" t="str">
        <f t="shared" ca="1" si="2"/>
        <v/>
      </c>
      <c r="K22" s="349" t="str">
        <f ca="1">IF(J22="","",((SUM(C22:E22)+IF(diNo!D20="FOS",3,2)*J22))/(COUNT(C22:E22)+IF(diNo!D20="FOS",3,2)))</f>
        <v/>
      </c>
      <c r="M22" s="157" t="str">
        <f t="shared" si="3"/>
        <v/>
      </c>
    </row>
    <row r="23" spans="1:17" x14ac:dyDescent="0.2">
      <c r="A23" s="3">
        <f>I1SA!A21</f>
        <v>18</v>
      </c>
      <c r="B23" s="328" t="str">
        <f>IF('1. Halbjahr'!B21&lt;&gt;"", '1. Halbjahr'!B21, "")</f>
        <v/>
      </c>
      <c r="C23" s="326"/>
      <c r="D23" s="2"/>
      <c r="E23" s="332"/>
      <c r="F23" s="330" t="str">
        <f>IF(APRohpunkte!AG22="",'Eingabe Abitur'!Q45,APRohpunkte!AG22)</f>
        <v/>
      </c>
      <c r="G23" s="3" t="str">
        <f t="shared" ca="1" si="0"/>
        <v/>
      </c>
      <c r="H23" s="335" t="str">
        <f>'Eingabe Abitur'!X45</f>
        <v/>
      </c>
      <c r="I23" s="342" t="str">
        <f t="shared" ca="1" si="1"/>
        <v/>
      </c>
      <c r="J23" s="352" t="str">
        <f t="shared" ca="1" si="2"/>
        <v/>
      </c>
      <c r="K23" s="349" t="str">
        <f ca="1">IF(J23="","",((SUM(C23:E23)+IF(diNo!D21="FOS",3,2)*J23))/(COUNT(C23:E23)+IF(diNo!D21="FOS",3,2)))</f>
        <v/>
      </c>
      <c r="M23" s="157" t="str">
        <f t="shared" si="3"/>
        <v/>
      </c>
    </row>
    <row r="24" spans="1:17" x14ac:dyDescent="0.2">
      <c r="A24" s="3">
        <f>I1SA!A22</f>
        <v>19</v>
      </c>
      <c r="B24" s="328" t="str">
        <f>IF('1. Halbjahr'!B22&lt;&gt;"", '1. Halbjahr'!B22, "")</f>
        <v/>
      </c>
      <c r="C24" s="326"/>
      <c r="D24" s="2"/>
      <c r="E24" s="332"/>
      <c r="F24" s="330" t="str">
        <f>IF(APRohpunkte!AG23="",'Eingabe Abitur'!Q47,APRohpunkte!AG23)</f>
        <v/>
      </c>
      <c r="G24" s="3" t="str">
        <f t="shared" ca="1" si="0"/>
        <v/>
      </c>
      <c r="H24" s="335" t="str">
        <f>'Eingabe Abitur'!X47</f>
        <v/>
      </c>
      <c r="I24" s="339" t="str">
        <f t="shared" ca="1" si="1"/>
        <v/>
      </c>
      <c r="J24" s="352" t="str">
        <f t="shared" ca="1" si="2"/>
        <v/>
      </c>
      <c r="K24" s="349" t="str">
        <f ca="1">IF(J24="","",((SUM(C24:E24)+IF(diNo!D22="FOS",3,2)*J24))/(COUNT(C24:E24)+IF(diNo!D22="FOS",3,2)))</f>
        <v/>
      </c>
      <c r="M24" s="157" t="str">
        <f t="shared" si="3"/>
        <v/>
      </c>
    </row>
    <row r="25" spans="1:17" x14ac:dyDescent="0.2">
      <c r="A25" s="3">
        <f>I1SA!A23</f>
        <v>20</v>
      </c>
      <c r="B25" s="328" t="str">
        <f>IF('1. Halbjahr'!B23&lt;&gt;"", '1. Halbjahr'!B23, "")</f>
        <v/>
      </c>
      <c r="C25" s="326"/>
      <c r="D25" s="2"/>
      <c r="E25" s="332"/>
      <c r="F25" s="330" t="str">
        <f>IF(APRohpunkte!AG24="",'Eingabe Abitur'!Q49,APRohpunkte!AG24)</f>
        <v/>
      </c>
      <c r="G25" s="3" t="str">
        <f t="shared" ca="1" si="0"/>
        <v/>
      </c>
      <c r="H25" s="335" t="str">
        <f>'Eingabe Abitur'!X49</f>
        <v/>
      </c>
      <c r="I25" s="339" t="str">
        <f t="shared" ca="1" si="1"/>
        <v/>
      </c>
      <c r="J25" s="352" t="str">
        <f t="shared" ca="1" si="2"/>
        <v/>
      </c>
      <c r="K25" s="349" t="str">
        <f ca="1">IF(J25="","",((SUM(C25:E25)+IF(diNo!D23="FOS",3,2)*J25))/(COUNT(C25:E25)+IF(diNo!D23="FOS",3,2)))</f>
        <v/>
      </c>
      <c r="M25" s="157" t="str">
        <f t="shared" si="3"/>
        <v/>
      </c>
    </row>
    <row r="26" spans="1:17" x14ac:dyDescent="0.2">
      <c r="A26" s="3">
        <f>I1SA!A24</f>
        <v>21</v>
      </c>
      <c r="B26" s="328" t="str">
        <f>IF('1. Halbjahr'!B24&lt;&gt;"", '1. Halbjahr'!B24, "")</f>
        <v/>
      </c>
      <c r="C26" s="326"/>
      <c r="D26" s="2"/>
      <c r="E26" s="332"/>
      <c r="F26" s="330" t="str">
        <f>IF(APRohpunkte!AG25="",'Eingabe Abitur'!Q51,APRohpunkte!AG25)</f>
        <v/>
      </c>
      <c r="G26" s="3" t="str">
        <f t="shared" ca="1" si="0"/>
        <v/>
      </c>
      <c r="H26" s="335" t="str">
        <f>'Eingabe Abitur'!X51</f>
        <v/>
      </c>
      <c r="I26" s="339" t="str">
        <f t="shared" ca="1" si="1"/>
        <v/>
      </c>
      <c r="J26" s="352" t="str">
        <f t="shared" ca="1" si="2"/>
        <v/>
      </c>
      <c r="K26" s="349" t="str">
        <f ca="1">IF(J26="","",((SUM(C26:E26)+IF(diNo!D24="FOS",3,2)*J26))/(COUNT(C26:E26)+IF(diNo!D24="FOS",3,2)))</f>
        <v/>
      </c>
      <c r="M26" s="157" t="str">
        <f t="shared" si="3"/>
        <v/>
      </c>
    </row>
    <row r="27" spans="1:17" x14ac:dyDescent="0.2">
      <c r="A27" s="3">
        <f>I1SA!A25</f>
        <v>22</v>
      </c>
      <c r="B27" s="328" t="str">
        <f>IF('1. Halbjahr'!B25&lt;&gt;"", '1. Halbjahr'!B25, "")</f>
        <v/>
      </c>
      <c r="C27" s="326"/>
      <c r="D27" s="2"/>
      <c r="E27" s="332"/>
      <c r="F27" s="330" t="str">
        <f>IF(APRohpunkte!AG26="",'Eingabe Abitur'!Q53,APRohpunkte!AG26)</f>
        <v/>
      </c>
      <c r="G27" s="3" t="str">
        <f t="shared" ca="1" si="0"/>
        <v/>
      </c>
      <c r="H27" s="335" t="str">
        <f>'Eingabe Abitur'!X53</f>
        <v/>
      </c>
      <c r="I27" s="339" t="str">
        <f t="shared" ca="1" si="1"/>
        <v/>
      </c>
      <c r="J27" s="352" t="str">
        <f t="shared" ca="1" si="2"/>
        <v/>
      </c>
      <c r="K27" s="349" t="str">
        <f ca="1">IF(J27="","",((SUM(C27:E27)+IF(diNo!D25="FOS",3,2)*J27))/(COUNT(C27:E27)+IF(diNo!D25="FOS",3,2)))</f>
        <v/>
      </c>
      <c r="M27" s="157" t="str">
        <f t="shared" si="3"/>
        <v/>
      </c>
    </row>
    <row r="28" spans="1:17" x14ac:dyDescent="0.2">
      <c r="A28" s="3">
        <f>I1SA!A26</f>
        <v>23</v>
      </c>
      <c r="B28" s="328" t="str">
        <f>IF('1. Halbjahr'!B26&lt;&gt;"", '1. Halbjahr'!B26, "")</f>
        <v/>
      </c>
      <c r="C28" s="326"/>
      <c r="D28" s="2"/>
      <c r="E28" s="332"/>
      <c r="F28" s="330" t="str">
        <f>IF(APRohpunkte!AG27="",'Eingabe Abitur'!Q55,APRohpunkte!AG27)</f>
        <v/>
      </c>
      <c r="G28" s="3" t="str">
        <f t="shared" ca="1" si="0"/>
        <v/>
      </c>
      <c r="H28" s="335" t="str">
        <f>'Eingabe Abitur'!X55</f>
        <v/>
      </c>
      <c r="I28" s="340" t="str">
        <f t="shared" ca="1" si="1"/>
        <v/>
      </c>
      <c r="J28" s="352" t="str">
        <f t="shared" ca="1" si="2"/>
        <v/>
      </c>
      <c r="K28" s="349" t="str">
        <f ca="1">IF(J28="","",((SUM(C28:E28)+IF(diNo!D26="FOS",3,2)*J28))/(COUNT(C28:E28)+IF(diNo!D26="FOS",3,2)))</f>
        <v/>
      </c>
      <c r="M28" s="157" t="str">
        <f t="shared" si="3"/>
        <v/>
      </c>
    </row>
    <row r="29" spans="1:17" x14ac:dyDescent="0.2">
      <c r="A29" s="3">
        <f>I1SA!A27</f>
        <v>24</v>
      </c>
      <c r="B29" s="328" t="str">
        <f>IF('1. Halbjahr'!B27&lt;&gt;"", '1. Halbjahr'!B27, "")</f>
        <v/>
      </c>
      <c r="C29" s="326"/>
      <c r="D29" s="2"/>
      <c r="E29" s="332"/>
      <c r="F29" s="330" t="str">
        <f>IF(APRohpunkte!AG28="",'Eingabe Abitur'!Q57,APRohpunkte!AG28)</f>
        <v/>
      </c>
      <c r="G29" s="3" t="str">
        <f t="shared" ca="1" si="0"/>
        <v/>
      </c>
      <c r="H29" s="335" t="str">
        <f>'Eingabe Abitur'!X57</f>
        <v/>
      </c>
      <c r="I29" s="340" t="str">
        <f t="shared" ca="1" si="1"/>
        <v/>
      </c>
      <c r="J29" s="352" t="str">
        <f t="shared" ca="1" si="2"/>
        <v/>
      </c>
      <c r="K29" s="349" t="str">
        <f ca="1">IF(J29="","",((SUM(C29:E29)+IF(diNo!D27="FOS",3,2)*J29))/(COUNT(C29:E29)+IF(diNo!D27="FOS",3,2)))</f>
        <v/>
      </c>
      <c r="M29" s="157" t="str">
        <f t="shared" si="3"/>
        <v/>
      </c>
    </row>
    <row r="30" spans="1:17" x14ac:dyDescent="0.2">
      <c r="A30" s="3">
        <f>I1SA!A28</f>
        <v>25</v>
      </c>
      <c r="B30" s="328" t="str">
        <f>IF('1. Halbjahr'!B28&lt;&gt;"", '1. Halbjahr'!B28, "")</f>
        <v/>
      </c>
      <c r="C30" s="326"/>
      <c r="D30" s="2"/>
      <c r="E30" s="332"/>
      <c r="F30" s="330" t="str">
        <f>IF(APRohpunkte!AG29="",'Eingabe Abitur'!Q59,APRohpunkte!AG29)</f>
        <v/>
      </c>
      <c r="G30" s="3" t="str">
        <f t="shared" ca="1" si="0"/>
        <v/>
      </c>
      <c r="H30" s="335" t="str">
        <f>'Eingabe Abitur'!X59</f>
        <v/>
      </c>
      <c r="I30" s="340" t="str">
        <f t="shared" ca="1" si="1"/>
        <v/>
      </c>
      <c r="J30" s="352" t="str">
        <f t="shared" ca="1" si="2"/>
        <v/>
      </c>
      <c r="K30" s="349" t="str">
        <f ca="1">IF(J30="","",((SUM(C30:E30)+IF(diNo!D28="FOS",3,2)*J30))/(COUNT(C30:E30)+IF(diNo!D28="FOS",3,2)))</f>
        <v/>
      </c>
      <c r="M30" s="157" t="str">
        <f t="shared" si="3"/>
        <v/>
      </c>
    </row>
    <row r="31" spans="1:17" x14ac:dyDescent="0.2">
      <c r="A31" s="3">
        <f>I1SA!A29</f>
        <v>26</v>
      </c>
      <c r="B31" s="328" t="str">
        <f>IF('1. Halbjahr'!B29&lt;&gt;"", '1. Halbjahr'!B29, "")</f>
        <v/>
      </c>
      <c r="C31" s="326"/>
      <c r="D31" s="2"/>
      <c r="E31" s="332"/>
      <c r="F31" s="330" t="str">
        <f>IF(APRohpunkte!AG30="",'Eingabe Abitur'!Q61,APRohpunkte!AG30)</f>
        <v/>
      </c>
      <c r="G31" s="3" t="str">
        <f t="shared" ca="1" si="0"/>
        <v/>
      </c>
      <c r="H31" s="335" t="str">
        <f>'Eingabe Abitur'!X61</f>
        <v/>
      </c>
      <c r="I31" s="342" t="str">
        <f t="shared" ca="1" si="1"/>
        <v/>
      </c>
      <c r="J31" s="352" t="str">
        <f t="shared" ca="1" si="2"/>
        <v/>
      </c>
      <c r="K31" s="349" t="str">
        <f ca="1">IF(J31="","",((SUM(C31:E31)+IF(diNo!D29="FOS",3,2)*J31))/(COUNT(C31:E31)+IF(diNo!D29="FOS",3,2)))</f>
        <v/>
      </c>
      <c r="M31" s="157" t="str">
        <f t="shared" si="3"/>
        <v/>
      </c>
    </row>
    <row r="32" spans="1:17" x14ac:dyDescent="0.2">
      <c r="A32" s="3">
        <f>I1SA!A30</f>
        <v>27</v>
      </c>
      <c r="B32" s="328" t="str">
        <f>IF('1. Halbjahr'!B30&lt;&gt;"", '1. Halbjahr'!B30, "")</f>
        <v/>
      </c>
      <c r="C32" s="326"/>
      <c r="D32" s="2"/>
      <c r="E32" s="332"/>
      <c r="F32" s="330" t="str">
        <f>IF(APRohpunkte!AG31="",'Eingabe Abitur'!Q63,APRohpunkte!AG31)</f>
        <v/>
      </c>
      <c r="G32" s="3" t="str">
        <f t="shared" ca="1" si="0"/>
        <v/>
      </c>
      <c r="H32" s="335" t="str">
        <f>'Eingabe Abitur'!X63</f>
        <v/>
      </c>
      <c r="I32" s="339" t="str">
        <f t="shared" ca="1" si="1"/>
        <v/>
      </c>
      <c r="J32" s="352" t="str">
        <f t="shared" ca="1" si="2"/>
        <v/>
      </c>
      <c r="K32" s="349" t="str">
        <f ca="1">IF(J32="","",((SUM(C32:E32)+IF(diNo!D30="FOS",3,2)*J32))/(COUNT(C32:E32)+IF(diNo!D30="FOS",3,2)))</f>
        <v/>
      </c>
      <c r="M32" s="157" t="str">
        <f t="shared" si="3"/>
        <v/>
      </c>
    </row>
    <row r="33" spans="1:13" x14ac:dyDescent="0.2">
      <c r="A33" s="3">
        <f>I1SA!A31</f>
        <v>28</v>
      </c>
      <c r="B33" s="328" t="str">
        <f>IF('1. Halbjahr'!B31&lt;&gt;"", '1. Halbjahr'!B31, "")</f>
        <v/>
      </c>
      <c r="C33" s="326"/>
      <c r="D33" s="2"/>
      <c r="E33" s="332"/>
      <c r="F33" s="330" t="str">
        <f>IF(APRohpunkte!AG32="",'Eingabe Abitur'!Q65,APRohpunkte!AG32)</f>
        <v/>
      </c>
      <c r="G33" s="3" t="str">
        <f t="shared" ca="1" si="0"/>
        <v/>
      </c>
      <c r="H33" s="335" t="str">
        <f>'Eingabe Abitur'!X65</f>
        <v/>
      </c>
      <c r="I33" s="339" t="str">
        <f t="shared" ca="1" si="1"/>
        <v/>
      </c>
      <c r="J33" s="352" t="str">
        <f t="shared" ca="1" si="2"/>
        <v/>
      </c>
      <c r="K33" s="349" t="str">
        <f ca="1">IF(J33="","",((SUM(C33:E33)+IF(diNo!D31="FOS",3,2)*J33))/(COUNT(C33:E33)+IF(diNo!D31="FOS",3,2)))</f>
        <v/>
      </c>
      <c r="M33" s="157" t="str">
        <f t="shared" si="3"/>
        <v/>
      </c>
    </row>
    <row r="34" spans="1:13" x14ac:dyDescent="0.2">
      <c r="A34" s="3">
        <f>I1SA!A32</f>
        <v>29</v>
      </c>
      <c r="B34" s="328" t="str">
        <f>IF('1. Halbjahr'!B32&lt;&gt;"", '1. Halbjahr'!B32, "")</f>
        <v/>
      </c>
      <c r="C34" s="326"/>
      <c r="D34" s="2"/>
      <c r="E34" s="332"/>
      <c r="F34" s="330" t="str">
        <f>IF(APRohpunkte!AG33="",'Eingabe Abitur'!Q67,APRohpunkte!AG33)</f>
        <v/>
      </c>
      <c r="G34" s="3" t="str">
        <f t="shared" ca="1" si="0"/>
        <v/>
      </c>
      <c r="H34" s="335" t="str">
        <f>'Eingabe Abitur'!X67</f>
        <v/>
      </c>
      <c r="I34" s="340" t="str">
        <f t="shared" ca="1" si="1"/>
        <v/>
      </c>
      <c r="J34" s="352" t="str">
        <f t="shared" ca="1" si="2"/>
        <v/>
      </c>
      <c r="K34" s="349" t="str">
        <f ca="1">IF(J34="","",((SUM(C34:E34)+IF(diNo!D32="FOS",3,2)*J34))/(COUNT(C34:E34)+IF(diNo!D32="FOS",3,2)))</f>
        <v/>
      </c>
      <c r="M34" s="157" t="str">
        <f t="shared" si="3"/>
        <v/>
      </c>
    </row>
    <row r="35" spans="1:13" x14ac:dyDescent="0.2">
      <c r="A35" s="3">
        <f>I1SA!A33</f>
        <v>30</v>
      </c>
      <c r="B35" s="328" t="str">
        <f>IF('1. Halbjahr'!B33&lt;&gt;"", '1. Halbjahr'!B33, "")</f>
        <v/>
      </c>
      <c r="C35" s="326"/>
      <c r="D35" s="2"/>
      <c r="E35" s="332"/>
      <c r="F35" s="330" t="str">
        <f>IF(APRohpunkte!AG34="",'Eingabe Abitur'!Q69,APRohpunkte!AG34)</f>
        <v/>
      </c>
      <c r="G35" s="3" t="str">
        <f t="shared" ca="1" si="0"/>
        <v/>
      </c>
      <c r="H35" s="335" t="str">
        <f>'Eingabe Abitur'!X69</f>
        <v/>
      </c>
      <c r="I35" s="342" t="str">
        <f t="shared" ca="1" si="1"/>
        <v/>
      </c>
      <c r="J35" s="352" t="str">
        <f t="shared" ca="1" si="2"/>
        <v/>
      </c>
      <c r="K35" s="349" t="str">
        <f ca="1">IF(J35="","",((SUM(C35:E35)+IF(diNo!D33="FOS",3,2)*J35))/(COUNT(C35:E35)+IF(diNo!D33="FOS",3,2)))</f>
        <v/>
      </c>
      <c r="M35" s="157" t="str">
        <f t="shared" si="3"/>
        <v/>
      </c>
    </row>
    <row r="36" spans="1:13" x14ac:dyDescent="0.2">
      <c r="A36" s="3">
        <f>I1SA!A34</f>
        <v>31</v>
      </c>
      <c r="B36" s="328" t="str">
        <f>IF('1. Halbjahr'!B34&lt;&gt;"", '1. Halbjahr'!B34, "")</f>
        <v/>
      </c>
      <c r="C36" s="326"/>
      <c r="D36" s="2"/>
      <c r="E36" s="332"/>
      <c r="F36" s="330" t="str">
        <f>IF(APRohpunkte!AG35="",'Eingabe Abitur'!Q71,APRohpunkte!AG35)</f>
        <v/>
      </c>
      <c r="G36" s="3" t="str">
        <f t="shared" ca="1" si="0"/>
        <v/>
      </c>
      <c r="H36" s="335" t="str">
        <f>'Eingabe Abitur'!X71</f>
        <v/>
      </c>
      <c r="I36" s="340" t="str">
        <f t="shared" ca="1" si="1"/>
        <v/>
      </c>
      <c r="J36" s="352" t="str">
        <f t="shared" ca="1" si="2"/>
        <v/>
      </c>
      <c r="K36" s="349" t="str">
        <f ca="1">IF(J36="","",((SUM(C36:E36)+IF(diNo!D34="FOS",3,2)*J36))/(COUNT(C36:E36)+IF(diNo!D34="FOS",3,2)))</f>
        <v/>
      </c>
      <c r="M36" s="157" t="str">
        <f t="shared" si="3"/>
        <v/>
      </c>
    </row>
    <row r="37" spans="1:13" x14ac:dyDescent="0.2">
      <c r="A37" s="3">
        <f>I1SA!A35</f>
        <v>32</v>
      </c>
      <c r="B37" s="328" t="str">
        <f>IF('1. Halbjahr'!B35&lt;&gt;"", '1. Halbjahr'!B35, "")</f>
        <v/>
      </c>
      <c r="C37" s="326"/>
      <c r="D37" s="2"/>
      <c r="E37" s="332"/>
      <c r="F37" s="330" t="str">
        <f>IF(APRohpunkte!AG36="",'Eingabe Abitur'!Q73,APRohpunkte!AG36)</f>
        <v/>
      </c>
      <c r="G37" s="3" t="str">
        <f t="shared" ca="1" si="0"/>
        <v/>
      </c>
      <c r="H37" s="335" t="str">
        <f>'Eingabe Abitur'!X73</f>
        <v/>
      </c>
      <c r="I37" s="340" t="str">
        <f t="shared" ca="1" si="1"/>
        <v/>
      </c>
      <c r="J37" s="352" t="str">
        <f t="shared" ca="1" si="2"/>
        <v/>
      </c>
      <c r="K37" s="349" t="str">
        <f ca="1">IF(J37="","",((SUM(C37:E37)+IF(diNo!D35="FOS",3,2)*J37))/(COUNT(C37:E37)+IF(diNo!D35="FOS",3,2)))</f>
        <v/>
      </c>
      <c r="M37" s="157" t="str">
        <f t="shared" si="3"/>
        <v/>
      </c>
    </row>
    <row r="38" spans="1:13" x14ac:dyDescent="0.2">
      <c r="A38" s="3">
        <f>I1SA!A36</f>
        <v>33</v>
      </c>
      <c r="B38" s="328" t="str">
        <f>IF('1. Halbjahr'!B36&lt;&gt;"", '1. Halbjahr'!B36, "")</f>
        <v/>
      </c>
      <c r="C38" s="326"/>
      <c r="D38" s="2"/>
      <c r="E38" s="332"/>
      <c r="F38" s="330" t="str">
        <f>IF(APRohpunkte!AG37="",'Eingabe Abitur'!Q75,APRohpunkte!AG37)</f>
        <v/>
      </c>
      <c r="G38" s="3" t="str">
        <f t="shared" ca="1" si="0"/>
        <v/>
      </c>
      <c r="H38" s="335" t="str">
        <f>'Eingabe Abitur'!X75</f>
        <v/>
      </c>
      <c r="I38" s="342" t="str">
        <f t="shared" ca="1" si="1"/>
        <v/>
      </c>
      <c r="J38" s="352" t="str">
        <f t="shared" ca="1" si="2"/>
        <v/>
      </c>
      <c r="K38" s="349" t="str">
        <f ca="1">IF(J38="","",((SUM(C38:E38)+IF(diNo!D36="FOS",3,2)*J38))/(COUNT(C38:E38)+IF(diNo!D36="FOS",3,2)))</f>
        <v/>
      </c>
      <c r="M38" s="157" t="str">
        <f t="shared" si="3"/>
        <v/>
      </c>
    </row>
    <row r="39" spans="1:13" x14ac:dyDescent="0.2">
      <c r="A39" s="3">
        <f>I1SA!A37</f>
        <v>34</v>
      </c>
      <c r="B39" s="328" t="str">
        <f>IF('1. Halbjahr'!B37&lt;&gt;"", '1. Halbjahr'!B37, "")</f>
        <v/>
      </c>
      <c r="C39" s="326"/>
      <c r="D39" s="2"/>
      <c r="E39" s="332"/>
      <c r="F39" s="330" t="str">
        <f>IF(APRohpunkte!AG38="",'Eingabe Abitur'!Q77,APRohpunkte!AG38)</f>
        <v/>
      </c>
      <c r="G39" s="3" t="str">
        <f t="shared" ca="1" si="0"/>
        <v/>
      </c>
      <c r="H39" s="335" t="str">
        <f>'Eingabe Abitur'!X77</f>
        <v/>
      </c>
      <c r="I39" s="339" t="str">
        <f t="shared" ca="1" si="1"/>
        <v/>
      </c>
      <c r="J39" s="352" t="str">
        <f t="shared" ca="1" si="2"/>
        <v/>
      </c>
      <c r="K39" s="349" t="str">
        <f ca="1">IF(J39="","",((SUM(C39:E39)+IF(diNo!D37="FOS",3,2)*J39))/(COUNT(C39:E39)+IF(diNo!D37="FOS",3,2)))</f>
        <v/>
      </c>
      <c r="M39" s="157" t="str">
        <f t="shared" si="3"/>
        <v/>
      </c>
    </row>
    <row r="40" spans="1:13" ht="13.5" thickBot="1" x14ac:dyDescent="0.25">
      <c r="A40" s="324">
        <f>I1SA!A38</f>
        <v>35</v>
      </c>
      <c r="B40" s="329" t="str">
        <f>IF('1. Halbjahr'!B38&lt;&gt;"", '1. Halbjahr'!B38, "")</f>
        <v/>
      </c>
      <c r="C40" s="327"/>
      <c r="D40" s="325"/>
      <c r="E40" s="333"/>
      <c r="F40" s="331" t="str">
        <f>IF(APRohpunkte!AG39="",'Eingabe Abitur'!Q79,APRohpunkte!AG39)</f>
        <v/>
      </c>
      <c r="G40" s="324" t="str">
        <f t="shared" ca="1" si="0"/>
        <v/>
      </c>
      <c r="H40" s="335" t="str">
        <f>'Eingabe Abitur'!X79</f>
        <v/>
      </c>
      <c r="I40" s="341" t="str">
        <f t="shared" ca="1" si="1"/>
        <v/>
      </c>
      <c r="J40" s="353" t="str">
        <f t="shared" ca="1" si="2"/>
        <v/>
      </c>
      <c r="K40" s="350" t="str">
        <f ca="1">IF(J40="","",((SUM(C40:E40)+IF(diNo!D38="FOS",3,2)*J40))/(COUNT(C40:E40)+IF(diNo!D38="FOS",3,2)))</f>
        <v/>
      </c>
      <c r="M40" s="157" t="str">
        <f t="shared" si="3"/>
        <v/>
      </c>
    </row>
    <row r="41" spans="1:13" ht="13.5" thickBot="1" x14ac:dyDescent="0.25">
      <c r="B41" s="1" t="s">
        <v>39</v>
      </c>
      <c r="E41" s="347"/>
      <c r="G41" s="322" t="e">
        <f ca="1">AVERAGE(G6:G40)</f>
        <v>#DIV/0!</v>
      </c>
      <c r="H41" s="323" t="e">
        <f>AVERAGE(H6:H40)</f>
        <v>#DIV/0!</v>
      </c>
      <c r="I41" s="321"/>
      <c r="J41" s="354" t="e">
        <f ca="1">AVERAGE(J6:J40)</f>
        <v>#DIV/0!</v>
      </c>
      <c r="K41" s="351"/>
    </row>
    <row r="42" spans="1:13" ht="13.5" thickBot="1" x14ac:dyDescent="0.25">
      <c r="B42" s="1" t="s">
        <v>32</v>
      </c>
      <c r="E42" s="24" t="s">
        <v>15</v>
      </c>
    </row>
    <row r="43" spans="1:13" ht="13.5" thickBot="1" x14ac:dyDescent="0.25">
      <c r="B43" s="1" t="s">
        <v>34</v>
      </c>
      <c r="E43" s="29" t="s">
        <v>25</v>
      </c>
      <c r="G43" s="486" t="s">
        <v>38</v>
      </c>
      <c r="H43" s="486"/>
      <c r="I43" s="486"/>
      <c r="J43" s="4"/>
    </row>
    <row r="44" spans="1:13" x14ac:dyDescent="0.2">
      <c r="B44" s="1" t="s">
        <v>35</v>
      </c>
      <c r="E44" s="30">
        <v>100</v>
      </c>
      <c r="F44" s="25" t="s">
        <v>36</v>
      </c>
      <c r="G44" s="9">
        <v>20</v>
      </c>
      <c r="H44" s="25" t="s">
        <v>37</v>
      </c>
      <c r="I44" s="9">
        <v>39</v>
      </c>
      <c r="J44" s="59"/>
    </row>
    <row r="45" spans="1:13" x14ac:dyDescent="0.2">
      <c r="G45" s="28"/>
      <c r="I45" s="28"/>
      <c r="J45" s="28"/>
    </row>
    <row r="46" spans="1:13" x14ac:dyDescent="0.2">
      <c r="G46" s="28"/>
      <c r="I46" s="28"/>
      <c r="J46" s="28"/>
    </row>
    <row r="47" spans="1:13" x14ac:dyDescent="0.2">
      <c r="G47" s="28"/>
      <c r="H47" s="4"/>
    </row>
    <row r="48" spans="1:13" x14ac:dyDescent="0.2">
      <c r="G48" s="28"/>
      <c r="H48" s="4"/>
    </row>
    <row r="49" spans="4:12" x14ac:dyDescent="0.2">
      <c r="D49" s="209"/>
      <c r="E49" s="4" t="s">
        <v>21</v>
      </c>
      <c r="F49" s="4" t="s">
        <v>22</v>
      </c>
      <c r="G49" s="4" t="s">
        <v>14</v>
      </c>
      <c r="H49" s="4" t="s">
        <v>4</v>
      </c>
      <c r="I49" s="1" t="s">
        <v>13</v>
      </c>
      <c r="J49" s="1" t="s">
        <v>4</v>
      </c>
      <c r="L49" s="1" t="s">
        <v>13</v>
      </c>
    </row>
    <row r="50" spans="4:12" x14ac:dyDescent="0.2">
      <c r="E50" s="359">
        <f t="shared" ref="E50:E64" si="4">ROUNDDOWN($Q4/1000*$E$44, 1)*10</f>
        <v>100</v>
      </c>
      <c r="F50" s="160">
        <f>E51+0.5</f>
        <v>94.5</v>
      </c>
      <c r="G50" s="206">
        <v>15</v>
      </c>
      <c r="H50" s="71">
        <f ca="1">COUNTIF(G$6:G$40,15)</f>
        <v>0</v>
      </c>
      <c r="I50" s="74" t="e">
        <f ca="1">+H50/(SUM($H$50:$H$65))</f>
        <v>#DIV/0!</v>
      </c>
      <c r="J50" s="11"/>
      <c r="L50" s="11"/>
    </row>
    <row r="51" spans="4:12" x14ac:dyDescent="0.2">
      <c r="E51" s="358">
        <f t="shared" si="4"/>
        <v>94</v>
      </c>
      <c r="F51" s="158">
        <f t="shared" ref="F51:F63" si="5">E52+0.5</f>
        <v>89.5</v>
      </c>
      <c r="G51" s="207">
        <v>14</v>
      </c>
      <c r="H51" s="31">
        <f ca="1">COUNTIF(G$6:G$40,14)</f>
        <v>0</v>
      </c>
      <c r="I51" s="75" t="e">
        <f t="shared" ref="I51:I65" ca="1" si="6">+H51/(SUM($H$50:$H$65))</f>
        <v>#DIV/0!</v>
      </c>
      <c r="J51" s="34">
        <f ca="1">+H50+H51+H52</f>
        <v>0</v>
      </c>
      <c r="L51" s="36" t="e">
        <f ca="1">+I50+I51+I52</f>
        <v>#DIV/0!</v>
      </c>
    </row>
    <row r="52" spans="4:12" x14ac:dyDescent="0.2">
      <c r="E52" s="360">
        <f t="shared" si="4"/>
        <v>89</v>
      </c>
      <c r="F52" s="161">
        <f t="shared" si="5"/>
        <v>84.5</v>
      </c>
      <c r="G52" s="208">
        <v>13</v>
      </c>
      <c r="H52" s="72">
        <f ca="1">COUNTIF(G$6:G$40,13)</f>
        <v>0</v>
      </c>
      <c r="I52" s="75" t="e">
        <f t="shared" ca="1" si="6"/>
        <v>#DIV/0!</v>
      </c>
      <c r="J52" s="35"/>
      <c r="L52" s="35"/>
    </row>
    <row r="53" spans="4:12" x14ac:dyDescent="0.2">
      <c r="E53" s="359">
        <f t="shared" si="4"/>
        <v>84</v>
      </c>
      <c r="F53" s="160">
        <f t="shared" si="5"/>
        <v>79.5</v>
      </c>
      <c r="G53" s="207">
        <v>12</v>
      </c>
      <c r="H53" s="71">
        <f ca="1">COUNTIF(G$6:G$40,12)</f>
        <v>0</v>
      </c>
      <c r="I53" s="74" t="e">
        <f t="shared" ca="1" si="6"/>
        <v>#DIV/0!</v>
      </c>
      <c r="J53" s="11"/>
      <c r="L53" s="11"/>
    </row>
    <row r="54" spans="4:12" x14ac:dyDescent="0.2">
      <c r="E54" s="358">
        <f t="shared" si="4"/>
        <v>79</v>
      </c>
      <c r="F54" s="158">
        <f t="shared" si="5"/>
        <v>74.5</v>
      </c>
      <c r="G54" s="207">
        <v>11</v>
      </c>
      <c r="H54" s="31">
        <f ca="1">COUNTIF(G$6:G$40,11)</f>
        <v>0</v>
      </c>
      <c r="I54" s="75" t="e">
        <f t="shared" ca="1" si="6"/>
        <v>#DIV/0!</v>
      </c>
      <c r="J54" s="34">
        <f ca="1">+H53+H54+H55</f>
        <v>0</v>
      </c>
      <c r="L54" s="36" t="e">
        <f ca="1">+I53+I54+I55</f>
        <v>#DIV/0!</v>
      </c>
    </row>
    <row r="55" spans="4:12" x14ac:dyDescent="0.2">
      <c r="E55" s="360">
        <f t="shared" si="4"/>
        <v>74</v>
      </c>
      <c r="F55" s="161">
        <f t="shared" si="5"/>
        <v>69.5</v>
      </c>
      <c r="G55" s="207">
        <v>10</v>
      </c>
      <c r="H55" s="72">
        <f ca="1">COUNTIF(G$6:G$40,10)</f>
        <v>0</v>
      </c>
      <c r="I55" s="76" t="e">
        <f t="shared" ca="1" si="6"/>
        <v>#DIV/0!</v>
      </c>
      <c r="J55" s="35"/>
      <c r="L55" s="35"/>
    </row>
    <row r="56" spans="4:12" x14ac:dyDescent="0.2">
      <c r="E56" s="358">
        <f t="shared" si="4"/>
        <v>69</v>
      </c>
      <c r="F56" s="160">
        <f t="shared" si="5"/>
        <v>64.5</v>
      </c>
      <c r="G56" s="206">
        <v>9</v>
      </c>
      <c r="H56" s="71">
        <f ca="1">COUNTIF(G$6:G$40,9)</f>
        <v>0</v>
      </c>
      <c r="I56" s="75" t="e">
        <f t="shared" ca="1" si="6"/>
        <v>#DIV/0!</v>
      </c>
      <c r="J56" s="11"/>
      <c r="L56" s="11"/>
    </row>
    <row r="57" spans="4:12" x14ac:dyDescent="0.2">
      <c r="E57" s="358">
        <f t="shared" si="4"/>
        <v>64</v>
      </c>
      <c r="F57" s="158">
        <f t="shared" si="5"/>
        <v>59.5</v>
      </c>
      <c r="G57" s="207">
        <v>8</v>
      </c>
      <c r="H57" s="31">
        <f ca="1">COUNTIF(G$6:G$40,8)</f>
        <v>0</v>
      </c>
      <c r="I57" s="75" t="e">
        <f t="shared" ca="1" si="6"/>
        <v>#DIV/0!</v>
      </c>
      <c r="J57" s="34">
        <f ca="1">+H56+H57+H58</f>
        <v>0</v>
      </c>
      <c r="L57" s="36" t="e">
        <f ca="1">+I56+I57+I58</f>
        <v>#DIV/0!</v>
      </c>
    </row>
    <row r="58" spans="4:12" x14ac:dyDescent="0.2">
      <c r="E58" s="360">
        <f t="shared" si="4"/>
        <v>59</v>
      </c>
      <c r="F58" s="161">
        <f t="shared" si="5"/>
        <v>54.5</v>
      </c>
      <c r="G58" s="208">
        <v>7</v>
      </c>
      <c r="H58" s="72">
        <f ca="1">COUNTIF(G$6:G$40,7)</f>
        <v>0</v>
      </c>
      <c r="I58" s="75" t="e">
        <f t="shared" ca="1" si="6"/>
        <v>#DIV/0!</v>
      </c>
      <c r="J58" s="35"/>
      <c r="L58" s="35"/>
    </row>
    <row r="59" spans="4:12" x14ac:dyDescent="0.2">
      <c r="E59" s="358">
        <f t="shared" si="4"/>
        <v>54</v>
      </c>
      <c r="F59" s="160">
        <f t="shared" si="5"/>
        <v>49.5</v>
      </c>
      <c r="G59" s="207">
        <v>6</v>
      </c>
      <c r="H59" s="71">
        <f ca="1">COUNTIF(G$6:G$40,6)</f>
        <v>0</v>
      </c>
      <c r="I59" s="74" t="e">
        <f t="shared" ca="1" si="6"/>
        <v>#DIV/0!</v>
      </c>
      <c r="J59" s="11"/>
      <c r="L59" s="11"/>
    </row>
    <row r="60" spans="4:12" x14ac:dyDescent="0.2">
      <c r="E60" s="358">
        <f t="shared" si="4"/>
        <v>49</v>
      </c>
      <c r="F60" s="158">
        <f t="shared" si="5"/>
        <v>44.5</v>
      </c>
      <c r="G60" s="207">
        <v>5</v>
      </c>
      <c r="H60" s="31">
        <f ca="1">COUNTIF(G$6:G$40,5)</f>
        <v>0</v>
      </c>
      <c r="I60" s="75" t="e">
        <f t="shared" ca="1" si="6"/>
        <v>#DIV/0!</v>
      </c>
      <c r="J60" s="34">
        <f ca="1">+H59+H60+H61</f>
        <v>0</v>
      </c>
      <c r="L60" s="36" t="e">
        <f ca="1">+I59+I60+I61</f>
        <v>#DIV/0!</v>
      </c>
    </row>
    <row r="61" spans="4:12" x14ac:dyDescent="0.2">
      <c r="E61" s="360">
        <f t="shared" si="4"/>
        <v>44</v>
      </c>
      <c r="F61" s="161">
        <f t="shared" si="5"/>
        <v>39.5</v>
      </c>
      <c r="G61" s="207">
        <v>4</v>
      </c>
      <c r="H61" s="72">
        <f ca="1">COUNTIF(G$6:G$40,4)</f>
        <v>0</v>
      </c>
      <c r="I61" s="76" t="e">
        <f t="shared" ca="1" si="6"/>
        <v>#DIV/0!</v>
      </c>
      <c r="J61" s="35"/>
      <c r="L61" s="35"/>
    </row>
    <row r="62" spans="4:12" x14ac:dyDescent="0.2">
      <c r="E62" s="358">
        <f t="shared" si="4"/>
        <v>39</v>
      </c>
      <c r="F62" s="160">
        <f t="shared" si="5"/>
        <v>32.5</v>
      </c>
      <c r="G62" s="206">
        <v>3</v>
      </c>
      <c r="H62" s="71">
        <f ca="1">COUNTIF(G$6:G$40,3)</f>
        <v>0</v>
      </c>
      <c r="I62" s="75" t="e">
        <f t="shared" ca="1" si="6"/>
        <v>#DIV/0!</v>
      </c>
      <c r="J62" s="11"/>
      <c r="L62" s="11"/>
    </row>
    <row r="63" spans="4:12" x14ac:dyDescent="0.2">
      <c r="E63" s="358">
        <f t="shared" si="4"/>
        <v>32</v>
      </c>
      <c r="F63" s="158">
        <f t="shared" si="5"/>
        <v>26.5</v>
      </c>
      <c r="G63" s="207">
        <v>2</v>
      </c>
      <c r="H63" s="31">
        <f ca="1">COUNTIF(G$6:G$40,2)</f>
        <v>0</v>
      </c>
      <c r="I63" s="75" t="e">
        <f t="shared" ca="1" si="6"/>
        <v>#DIV/0!</v>
      </c>
      <c r="J63" s="34">
        <f ca="1">+H62+H63+H64</f>
        <v>0</v>
      </c>
      <c r="L63" s="36" t="e">
        <f ca="1">+I62+I63+I64</f>
        <v>#DIV/0!</v>
      </c>
    </row>
    <row r="64" spans="4:12" x14ac:dyDescent="0.2">
      <c r="E64" s="360">
        <f t="shared" si="4"/>
        <v>26</v>
      </c>
      <c r="F64" s="161">
        <f>ROUNDUP($G$44/1000*$E$44,1)*10</f>
        <v>20</v>
      </c>
      <c r="G64" s="208">
        <v>1</v>
      </c>
      <c r="H64" s="72">
        <f ca="1">COUNTIF(G$6:G$40,1)</f>
        <v>0</v>
      </c>
      <c r="I64" s="75" t="e">
        <f t="shared" ca="1" si="6"/>
        <v>#DIV/0!</v>
      </c>
      <c r="J64" s="35"/>
      <c r="L64" s="35"/>
    </row>
    <row r="65" spans="5:12" x14ac:dyDescent="0.2">
      <c r="E65" s="360">
        <f>F64-1</f>
        <v>19</v>
      </c>
      <c r="F65" s="205">
        <v>0</v>
      </c>
      <c r="G65" s="70">
        <v>0</v>
      </c>
      <c r="H65" s="73">
        <f ca="1">COUNTIF(G$6:G$40,0)</f>
        <v>0</v>
      </c>
      <c r="I65" s="77" t="e">
        <f t="shared" ca="1" si="6"/>
        <v>#DIV/0!</v>
      </c>
      <c r="J65" s="3">
        <f ca="1">+H65</f>
        <v>0</v>
      </c>
      <c r="L65" s="32" t="e">
        <f ca="1">+I65</f>
        <v>#DIV/0!</v>
      </c>
    </row>
  </sheetData>
  <sheetProtection algorithmName="SHA-512" hashValue="//Ko9zsxGQvK5Th2mMGaU+dnyfG+mZIkAtJkOgwtGn6pLS2LaREGU5dAdOmkCqX0QhoZZXwa9w5YAebsshvizQ==" saltValue="hRHMMdchJfWTR/qmNj+OmQ==" spinCount="100000" sheet="1" objects="1" scenarios="1"/>
  <mergeCells count="5">
    <mergeCell ref="G43:I43"/>
    <mergeCell ref="F5:G5"/>
    <mergeCell ref="E2:H2"/>
    <mergeCell ref="C5:E5"/>
    <mergeCell ref="I5:J5"/>
  </mergeCells>
  <phoneticPr fontId="0" type="noConversion"/>
  <conditionalFormatting sqref="F6:F40">
    <cfRule type="expression" dxfId="43" priority="1" stopIfTrue="1">
      <formula>$E$42="Punkte"</formula>
    </cfRule>
    <cfRule type="expression" dxfId="42" priority="2" stopIfTrue="1">
      <formula>$E$42="BE"</formula>
    </cfRule>
  </conditionalFormatting>
  <conditionalFormatting sqref="J6:K40">
    <cfRule type="cellIs" dxfId="41" priority="3" stopIfTrue="1" operator="lessThan">
      <formula>1</formula>
    </cfRule>
    <cfRule type="cellIs" dxfId="40" priority="4" stopIfTrue="1" operator="lessThan">
      <formula>3.5</formula>
    </cfRule>
  </conditionalFormatting>
  <dataValidations count="4">
    <dataValidation type="list" allowBlank="1" showInputMessage="1" showErrorMessage="1" sqref="E42" xr:uid="{00000000-0002-0000-1000-000000000000}">
      <formula1>"BE,Punkte"</formula1>
    </dataValidation>
    <dataValidation type="list" allowBlank="1" showInputMessage="1" showErrorMessage="1" sqref="E43" xr:uid="{00000000-0002-0000-1000-000001000000}">
      <formula1>"E,M"</formula1>
    </dataValidation>
    <dataValidation allowBlank="1" showDropDown="1" showInputMessage="1" showErrorMessage="1" sqref="I1" xr:uid="{00000000-0002-0000-1000-000002000000}"/>
    <dataValidation type="list" allowBlank="1" showInputMessage="1" showErrorMessage="1" sqref="H6:H40" xr:uid="{00000000-0002-0000-1000-000003000000}">
      <formula1>"15,14,13,12,11,10,9,8,7,6,5,4,3,2,1,0"</formula1>
    </dataValidation>
  </dataValidations>
  <pageMargins left="0.78740157499999996" right="0.78740157499999996" top="0.36" bottom="0.43" header="0.4921259845" footer="0.4921259845"/>
  <pageSetup paperSize="9" scale="95"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2">
    <tabColor rgb="FFAB5353"/>
    <pageSetUpPr fitToPage="1"/>
  </sheetPr>
  <dimension ref="A1:AJ41"/>
  <sheetViews>
    <sheetView zoomScaleNormal="100" workbookViewId="0">
      <pane xSplit="2" ySplit="4" topLeftCell="C5" activePane="bottomRight" state="frozen"/>
      <selection pane="topRight"/>
      <selection pane="bottomLeft"/>
      <selection pane="bottomRight" activeCell="C5" sqref="C5"/>
    </sheetView>
  </sheetViews>
  <sheetFormatPr baseColWidth="10" defaultRowHeight="12.75" x14ac:dyDescent="0.2"/>
  <cols>
    <col min="1" max="1" width="3.85546875" style="66" customWidth="1"/>
    <col min="2" max="2" width="22" style="66" bestFit="1" customWidth="1"/>
    <col min="3" max="32" width="4.7109375" style="64" customWidth="1"/>
    <col min="33" max="34" width="8.140625" style="58" customWidth="1"/>
    <col min="35" max="35" width="8.140625" style="92" customWidth="1"/>
    <col min="36" max="36" width="8.140625" customWidth="1"/>
  </cols>
  <sheetData>
    <row r="1" spans="1:36" x14ac:dyDescent="0.2">
      <c r="B1" s="375" t="s">
        <v>117</v>
      </c>
    </row>
    <row r="2" spans="1:36" ht="25.5" customHeight="1" x14ac:dyDescent="0.2">
      <c r="B2" s="363" t="str">
        <f>"Abschlussprüfung Rohpunkte " &amp; '1. Halbjahr'!B1</f>
        <v xml:space="preserve">Abschlussprüfung Rohpunkte </v>
      </c>
      <c r="C2" s="362"/>
      <c r="D2" s="362"/>
      <c r="E2" s="362"/>
      <c r="F2" s="362"/>
      <c r="G2" s="362"/>
      <c r="H2" s="362"/>
      <c r="I2" s="362"/>
      <c r="J2" s="362"/>
      <c r="K2" s="362"/>
      <c r="L2" s="362"/>
      <c r="M2" s="362"/>
      <c r="N2" s="362"/>
      <c r="O2" s="362"/>
      <c r="P2" s="362"/>
      <c r="Q2" s="362"/>
      <c r="R2" s="362"/>
      <c r="S2" s="362"/>
      <c r="T2" s="362"/>
      <c r="U2" s="362"/>
      <c r="V2" s="362"/>
      <c r="W2" s="362"/>
      <c r="X2" s="362"/>
      <c r="Y2" s="362"/>
      <c r="Z2" s="362"/>
      <c r="AA2" s="362"/>
      <c r="AB2" s="362"/>
      <c r="AC2" s="362"/>
      <c r="AD2" s="362"/>
      <c r="AE2" s="362"/>
      <c r="AF2" s="362"/>
      <c r="AG2" s="364"/>
    </row>
    <row r="3" spans="1:36" ht="12.75" customHeight="1" x14ac:dyDescent="0.2">
      <c r="B3" s="361"/>
      <c r="C3" s="404" t="s">
        <v>121</v>
      </c>
      <c r="D3" s="404" t="s">
        <v>41</v>
      </c>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5"/>
      <c r="AE3" s="404"/>
      <c r="AF3" s="405"/>
      <c r="AG3" s="494" t="s">
        <v>118</v>
      </c>
      <c r="AH3" s="495"/>
      <c r="AI3" s="496" t="s">
        <v>63</v>
      </c>
      <c r="AJ3" s="497"/>
    </row>
    <row r="4" spans="1:36" ht="13.5" thickBot="1" x14ac:dyDescent="0.25">
      <c r="B4" s="372"/>
      <c r="C4" s="373">
        <v>3</v>
      </c>
      <c r="D4" s="373">
        <v>3</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4"/>
      <c r="AE4" s="373"/>
      <c r="AF4" s="374"/>
      <c r="AG4" s="378" t="s">
        <v>64</v>
      </c>
      <c r="AH4" s="377" t="s">
        <v>14</v>
      </c>
      <c r="AI4" s="378" t="s">
        <v>64</v>
      </c>
      <c r="AJ4" s="379" t="s">
        <v>14</v>
      </c>
    </row>
    <row r="5" spans="1:36" ht="28.5" customHeight="1" x14ac:dyDescent="0.2">
      <c r="A5" s="66">
        <v>1</v>
      </c>
      <c r="B5" s="368" t="str">
        <f>+AP!B6</f>
        <v/>
      </c>
      <c r="C5" s="369"/>
      <c r="D5" s="369"/>
      <c r="E5" s="369"/>
      <c r="F5" s="369"/>
      <c r="G5" s="369"/>
      <c r="H5" s="369"/>
      <c r="I5" s="369"/>
      <c r="J5" s="369"/>
      <c r="K5" s="369"/>
      <c r="L5" s="369"/>
      <c r="M5" s="369"/>
      <c r="N5" s="369"/>
      <c r="O5" s="369"/>
      <c r="P5" s="369"/>
      <c r="Q5" s="369"/>
      <c r="R5" s="369"/>
      <c r="S5" s="369"/>
      <c r="T5" s="369"/>
      <c r="U5" s="369"/>
      <c r="V5" s="369"/>
      <c r="W5" s="369"/>
      <c r="X5" s="369"/>
      <c r="Y5" s="369"/>
      <c r="Z5" s="369"/>
      <c r="AA5" s="369"/>
      <c r="AB5" s="369"/>
      <c r="AC5" s="369"/>
      <c r="AD5" s="369"/>
      <c r="AE5" s="369"/>
      <c r="AF5" s="370"/>
      <c r="AG5" s="399" t="str">
        <f t="shared" ref="AG5:AG39" si="0">IF(COUNT(C5:AF5)&gt;0,SUM(C5:AF5),"")</f>
        <v/>
      </c>
      <c r="AH5" s="400" t="str">
        <f ca="1">AP!G6</f>
        <v/>
      </c>
      <c r="AI5" s="371"/>
      <c r="AJ5" s="402" t="str">
        <f ca="1">'Ausdruck SAP'!F11</f>
        <v/>
      </c>
    </row>
    <row r="6" spans="1:36" ht="28.5" customHeight="1" x14ac:dyDescent="0.2">
      <c r="A6" s="66">
        <f t="shared" ref="A6:A38" si="1">+A5+1</f>
        <v>2</v>
      </c>
      <c r="B6" s="78" t="str">
        <f>+AP!B7</f>
        <v/>
      </c>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366"/>
      <c r="AG6" s="401" t="str">
        <f t="shared" si="0"/>
        <v/>
      </c>
      <c r="AH6" s="400" t="str">
        <f ca="1">AP!G7</f>
        <v/>
      </c>
      <c r="AI6" s="367"/>
      <c r="AJ6" s="402" t="str">
        <f ca="1">'Ausdruck SAP'!F12</f>
        <v/>
      </c>
    </row>
    <row r="7" spans="1:36" ht="28.5" customHeight="1" x14ac:dyDescent="0.2">
      <c r="A7" s="66">
        <f t="shared" si="1"/>
        <v>3</v>
      </c>
      <c r="B7" s="78" t="str">
        <f>+AP!B8</f>
        <v/>
      </c>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366"/>
      <c r="AG7" s="401" t="str">
        <f t="shared" si="0"/>
        <v/>
      </c>
      <c r="AH7" s="400" t="str">
        <f ca="1">AP!G8</f>
        <v/>
      </c>
      <c r="AI7" s="367"/>
      <c r="AJ7" s="402" t="str">
        <f ca="1">'Ausdruck SAP'!F13</f>
        <v/>
      </c>
    </row>
    <row r="8" spans="1:36" ht="28.5" customHeight="1" x14ac:dyDescent="0.2">
      <c r="A8" s="66">
        <f>+A7+1</f>
        <v>4</v>
      </c>
      <c r="B8" s="78" t="str">
        <f>+AP!B9</f>
        <v/>
      </c>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366"/>
      <c r="AG8" s="401" t="str">
        <f t="shared" si="0"/>
        <v/>
      </c>
      <c r="AH8" s="400" t="str">
        <f ca="1">AP!G9</f>
        <v/>
      </c>
      <c r="AI8" s="367"/>
      <c r="AJ8" s="402" t="str">
        <f ca="1">'Ausdruck SAP'!F14</f>
        <v/>
      </c>
    </row>
    <row r="9" spans="1:36" ht="28.5" customHeight="1" x14ac:dyDescent="0.2">
      <c r="A9" s="66">
        <f t="shared" si="1"/>
        <v>5</v>
      </c>
      <c r="B9" s="78" t="str">
        <f>+AP!B10</f>
        <v/>
      </c>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366"/>
      <c r="AG9" s="401" t="str">
        <f t="shared" si="0"/>
        <v/>
      </c>
      <c r="AH9" s="400" t="str">
        <f ca="1">AP!G10</f>
        <v/>
      </c>
      <c r="AI9" s="367"/>
      <c r="AJ9" s="402" t="str">
        <f ca="1">'Ausdruck SAP'!F15</f>
        <v/>
      </c>
    </row>
    <row r="10" spans="1:36" ht="28.5" customHeight="1" x14ac:dyDescent="0.2">
      <c r="A10" s="66">
        <f t="shared" si="1"/>
        <v>6</v>
      </c>
      <c r="B10" s="78" t="str">
        <f>+AP!B11</f>
        <v/>
      </c>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366"/>
      <c r="AG10" s="401" t="str">
        <f t="shared" si="0"/>
        <v/>
      </c>
      <c r="AH10" s="400" t="str">
        <f ca="1">AP!G11</f>
        <v/>
      </c>
      <c r="AI10" s="367"/>
      <c r="AJ10" s="402" t="str">
        <f ca="1">'Ausdruck SAP'!F16</f>
        <v/>
      </c>
    </row>
    <row r="11" spans="1:36" ht="28.5" customHeight="1" x14ac:dyDescent="0.2">
      <c r="A11" s="66">
        <f t="shared" si="1"/>
        <v>7</v>
      </c>
      <c r="B11" s="78" t="str">
        <f>+AP!B12</f>
        <v/>
      </c>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366"/>
      <c r="AG11" s="401" t="str">
        <f t="shared" si="0"/>
        <v/>
      </c>
      <c r="AH11" s="400" t="str">
        <f ca="1">AP!G12</f>
        <v/>
      </c>
      <c r="AI11" s="367"/>
      <c r="AJ11" s="402" t="str">
        <f ca="1">'Ausdruck SAP'!F17</f>
        <v/>
      </c>
    </row>
    <row r="12" spans="1:36" ht="28.5" customHeight="1" x14ac:dyDescent="0.2">
      <c r="A12" s="66">
        <f t="shared" si="1"/>
        <v>8</v>
      </c>
      <c r="B12" s="78" t="str">
        <f>+AP!B13</f>
        <v/>
      </c>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366"/>
      <c r="AG12" s="401" t="str">
        <f t="shared" si="0"/>
        <v/>
      </c>
      <c r="AH12" s="400" t="str">
        <f ca="1">AP!G13</f>
        <v/>
      </c>
      <c r="AI12" s="367"/>
      <c r="AJ12" s="402" t="str">
        <f ca="1">'Ausdruck SAP'!F18</f>
        <v/>
      </c>
    </row>
    <row r="13" spans="1:36" ht="28.5" customHeight="1" x14ac:dyDescent="0.2">
      <c r="A13" s="66">
        <f t="shared" si="1"/>
        <v>9</v>
      </c>
      <c r="B13" s="78" t="str">
        <f>+AP!B14</f>
        <v/>
      </c>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366"/>
      <c r="AG13" s="401" t="str">
        <f t="shared" si="0"/>
        <v/>
      </c>
      <c r="AH13" s="400" t="str">
        <f ca="1">AP!G14</f>
        <v/>
      </c>
      <c r="AI13" s="367"/>
      <c r="AJ13" s="402" t="str">
        <f ca="1">'Ausdruck SAP'!F19</f>
        <v/>
      </c>
    </row>
    <row r="14" spans="1:36" ht="28.5" customHeight="1" x14ac:dyDescent="0.2">
      <c r="A14" s="66">
        <f t="shared" si="1"/>
        <v>10</v>
      </c>
      <c r="B14" s="78" t="str">
        <f>+AP!B15</f>
        <v/>
      </c>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366"/>
      <c r="AG14" s="401" t="str">
        <f t="shared" si="0"/>
        <v/>
      </c>
      <c r="AH14" s="400" t="str">
        <f ca="1">AP!G15</f>
        <v/>
      </c>
      <c r="AI14" s="367"/>
      <c r="AJ14" s="402" t="str">
        <f ca="1">'Ausdruck SAP'!F20</f>
        <v/>
      </c>
    </row>
    <row r="15" spans="1:36" ht="28.5" customHeight="1" x14ac:dyDescent="0.2">
      <c r="A15" s="66">
        <f t="shared" si="1"/>
        <v>11</v>
      </c>
      <c r="B15" s="78" t="str">
        <f>+AP!B16</f>
        <v/>
      </c>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366"/>
      <c r="AG15" s="401" t="str">
        <f t="shared" si="0"/>
        <v/>
      </c>
      <c r="AH15" s="400" t="str">
        <f ca="1">AP!G16</f>
        <v/>
      </c>
      <c r="AI15" s="367"/>
      <c r="AJ15" s="402" t="str">
        <f ca="1">'Ausdruck SAP'!F21</f>
        <v/>
      </c>
    </row>
    <row r="16" spans="1:36" ht="28.5" customHeight="1" x14ac:dyDescent="0.2">
      <c r="A16" s="66">
        <f t="shared" si="1"/>
        <v>12</v>
      </c>
      <c r="B16" s="78" t="str">
        <f>+AP!B17</f>
        <v/>
      </c>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366"/>
      <c r="AG16" s="401" t="str">
        <f t="shared" si="0"/>
        <v/>
      </c>
      <c r="AH16" s="400" t="str">
        <f ca="1">AP!G17</f>
        <v/>
      </c>
      <c r="AI16" s="367"/>
      <c r="AJ16" s="402" t="str">
        <f ca="1">'Ausdruck SAP'!F22</f>
        <v/>
      </c>
    </row>
    <row r="17" spans="1:36" ht="28.5" customHeight="1" x14ac:dyDescent="0.2">
      <c r="A17" s="66">
        <f t="shared" si="1"/>
        <v>13</v>
      </c>
      <c r="B17" s="78" t="str">
        <f>+AP!B18</f>
        <v/>
      </c>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366"/>
      <c r="AG17" s="401" t="str">
        <f t="shared" si="0"/>
        <v/>
      </c>
      <c r="AH17" s="400" t="str">
        <f ca="1">AP!G18</f>
        <v/>
      </c>
      <c r="AI17" s="367"/>
      <c r="AJ17" s="402" t="str">
        <f ca="1">'Ausdruck SAP'!F23</f>
        <v/>
      </c>
    </row>
    <row r="18" spans="1:36" ht="28.5" customHeight="1" x14ac:dyDescent="0.2">
      <c r="A18" s="66">
        <f t="shared" si="1"/>
        <v>14</v>
      </c>
      <c r="B18" s="78" t="str">
        <f>+AP!B19</f>
        <v/>
      </c>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366"/>
      <c r="AG18" s="401" t="str">
        <f t="shared" si="0"/>
        <v/>
      </c>
      <c r="AH18" s="400" t="str">
        <f ca="1">AP!G19</f>
        <v/>
      </c>
      <c r="AI18" s="367"/>
      <c r="AJ18" s="402" t="str">
        <f ca="1">'Ausdruck SAP'!F24</f>
        <v/>
      </c>
    </row>
    <row r="19" spans="1:36" ht="28.5" customHeight="1" x14ac:dyDescent="0.2">
      <c r="A19" s="66">
        <f t="shared" si="1"/>
        <v>15</v>
      </c>
      <c r="B19" s="78" t="str">
        <f>+AP!B20</f>
        <v/>
      </c>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366"/>
      <c r="AG19" s="401" t="str">
        <f t="shared" si="0"/>
        <v/>
      </c>
      <c r="AH19" s="400" t="str">
        <f ca="1">AP!G20</f>
        <v/>
      </c>
      <c r="AI19" s="367"/>
      <c r="AJ19" s="402" t="str">
        <f ca="1">'Ausdruck SAP'!F25</f>
        <v/>
      </c>
    </row>
    <row r="20" spans="1:36" ht="28.5" customHeight="1" x14ac:dyDescent="0.2">
      <c r="A20" s="66">
        <f t="shared" si="1"/>
        <v>16</v>
      </c>
      <c r="B20" s="78" t="str">
        <f>+AP!B21</f>
        <v/>
      </c>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366"/>
      <c r="AG20" s="401" t="str">
        <f t="shared" si="0"/>
        <v/>
      </c>
      <c r="AH20" s="400" t="str">
        <f ca="1">AP!G21</f>
        <v/>
      </c>
      <c r="AI20" s="367"/>
      <c r="AJ20" s="402" t="str">
        <f ca="1">'Ausdruck SAP'!F26</f>
        <v/>
      </c>
    </row>
    <row r="21" spans="1:36" ht="28.5" customHeight="1" x14ac:dyDescent="0.2">
      <c r="A21" s="66">
        <f t="shared" si="1"/>
        <v>17</v>
      </c>
      <c r="B21" s="78" t="str">
        <f>+AP!B22</f>
        <v/>
      </c>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366"/>
      <c r="AG21" s="401" t="str">
        <f t="shared" si="0"/>
        <v/>
      </c>
      <c r="AH21" s="400" t="str">
        <f ca="1">AP!G22</f>
        <v/>
      </c>
      <c r="AI21" s="367"/>
      <c r="AJ21" s="402" t="str">
        <f ca="1">'Ausdruck SAP'!F27</f>
        <v/>
      </c>
    </row>
    <row r="22" spans="1:36" ht="28.5" customHeight="1" x14ac:dyDescent="0.2">
      <c r="A22" s="66">
        <f t="shared" si="1"/>
        <v>18</v>
      </c>
      <c r="B22" s="78" t="str">
        <f>+AP!B23</f>
        <v/>
      </c>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366"/>
      <c r="AG22" s="401" t="str">
        <f t="shared" si="0"/>
        <v/>
      </c>
      <c r="AH22" s="400" t="str">
        <f ca="1">AP!G23</f>
        <v/>
      </c>
      <c r="AI22" s="367"/>
      <c r="AJ22" s="402" t="str">
        <f ca="1">'Ausdruck SAP'!F28</f>
        <v/>
      </c>
    </row>
    <row r="23" spans="1:36" ht="28.5" customHeight="1" x14ac:dyDescent="0.2">
      <c r="A23" s="66">
        <f t="shared" si="1"/>
        <v>19</v>
      </c>
      <c r="B23" s="78" t="str">
        <f>+AP!B24</f>
        <v/>
      </c>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366"/>
      <c r="AG23" s="401" t="str">
        <f t="shared" si="0"/>
        <v/>
      </c>
      <c r="AH23" s="400" t="str">
        <f ca="1">AP!G24</f>
        <v/>
      </c>
      <c r="AI23" s="367"/>
      <c r="AJ23" s="402" t="str">
        <f ca="1">'Ausdruck SAP'!F29</f>
        <v/>
      </c>
    </row>
    <row r="24" spans="1:36" ht="28.5" customHeight="1" x14ac:dyDescent="0.2">
      <c r="A24" s="66">
        <f t="shared" si="1"/>
        <v>20</v>
      </c>
      <c r="B24" s="78" t="str">
        <f>+AP!B25</f>
        <v/>
      </c>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366"/>
      <c r="AG24" s="401" t="str">
        <f t="shared" si="0"/>
        <v/>
      </c>
      <c r="AH24" s="400" t="str">
        <f ca="1">AP!G25</f>
        <v/>
      </c>
      <c r="AI24" s="367"/>
      <c r="AJ24" s="402" t="str">
        <f ca="1">'Ausdruck SAP'!F30</f>
        <v/>
      </c>
    </row>
    <row r="25" spans="1:36" ht="28.5" customHeight="1" x14ac:dyDescent="0.2">
      <c r="A25" s="66">
        <f t="shared" si="1"/>
        <v>21</v>
      </c>
      <c r="B25" s="78" t="str">
        <f>+AP!B26</f>
        <v/>
      </c>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366"/>
      <c r="AG25" s="401" t="str">
        <f t="shared" si="0"/>
        <v/>
      </c>
      <c r="AH25" s="400" t="str">
        <f ca="1">AP!G26</f>
        <v/>
      </c>
      <c r="AI25" s="367"/>
      <c r="AJ25" s="402" t="str">
        <f ca="1">'Ausdruck SAP'!F31</f>
        <v/>
      </c>
    </row>
    <row r="26" spans="1:36" ht="28.5" customHeight="1" x14ac:dyDescent="0.2">
      <c r="A26" s="66">
        <f t="shared" si="1"/>
        <v>22</v>
      </c>
      <c r="B26" s="78" t="str">
        <f>+AP!B27</f>
        <v/>
      </c>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366"/>
      <c r="AG26" s="401" t="str">
        <f t="shared" si="0"/>
        <v/>
      </c>
      <c r="AH26" s="400" t="str">
        <f ca="1">AP!G27</f>
        <v/>
      </c>
      <c r="AI26" s="367"/>
      <c r="AJ26" s="402" t="str">
        <f ca="1">'Ausdruck SAP'!F32</f>
        <v/>
      </c>
    </row>
    <row r="27" spans="1:36" ht="28.5" customHeight="1" x14ac:dyDescent="0.2">
      <c r="A27" s="66">
        <f t="shared" si="1"/>
        <v>23</v>
      </c>
      <c r="B27" s="78" t="str">
        <f>+AP!B28</f>
        <v/>
      </c>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366"/>
      <c r="AG27" s="401" t="str">
        <f t="shared" si="0"/>
        <v/>
      </c>
      <c r="AH27" s="400" t="str">
        <f ca="1">AP!G28</f>
        <v/>
      </c>
      <c r="AI27" s="367"/>
      <c r="AJ27" s="402" t="str">
        <f ca="1">'Ausdruck SAP'!F33</f>
        <v/>
      </c>
    </row>
    <row r="28" spans="1:36" ht="28.5" customHeight="1" x14ac:dyDescent="0.2">
      <c r="A28" s="66">
        <f t="shared" si="1"/>
        <v>24</v>
      </c>
      <c r="B28" s="78" t="str">
        <f>+AP!B29</f>
        <v/>
      </c>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366"/>
      <c r="AG28" s="401" t="str">
        <f t="shared" si="0"/>
        <v/>
      </c>
      <c r="AH28" s="400" t="str">
        <f ca="1">AP!G29</f>
        <v/>
      </c>
      <c r="AI28" s="367"/>
      <c r="AJ28" s="402" t="str">
        <f ca="1">'Ausdruck SAP'!F34</f>
        <v/>
      </c>
    </row>
    <row r="29" spans="1:36" ht="28.5" customHeight="1" x14ac:dyDescent="0.2">
      <c r="A29" s="66">
        <f t="shared" si="1"/>
        <v>25</v>
      </c>
      <c r="B29" s="78" t="str">
        <f>+AP!B30</f>
        <v/>
      </c>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366"/>
      <c r="AG29" s="401" t="str">
        <f t="shared" si="0"/>
        <v/>
      </c>
      <c r="AH29" s="400" t="str">
        <f ca="1">AP!G30</f>
        <v/>
      </c>
      <c r="AI29" s="367"/>
      <c r="AJ29" s="402" t="str">
        <f ca="1">'Ausdruck SAP'!F35</f>
        <v/>
      </c>
    </row>
    <row r="30" spans="1:36" ht="28.5" customHeight="1" x14ac:dyDescent="0.2">
      <c r="A30" s="66">
        <f t="shared" si="1"/>
        <v>26</v>
      </c>
      <c r="B30" s="78" t="str">
        <f>+AP!B31</f>
        <v/>
      </c>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366"/>
      <c r="AG30" s="401" t="str">
        <f t="shared" si="0"/>
        <v/>
      </c>
      <c r="AH30" s="400" t="str">
        <f ca="1">AP!G31</f>
        <v/>
      </c>
      <c r="AI30" s="367"/>
      <c r="AJ30" s="402" t="str">
        <f ca="1">'Ausdruck SAP'!F36</f>
        <v/>
      </c>
    </row>
    <row r="31" spans="1:36" ht="28.5" customHeight="1" x14ac:dyDescent="0.2">
      <c r="A31" s="66">
        <f t="shared" si="1"/>
        <v>27</v>
      </c>
      <c r="B31" s="78" t="str">
        <f>+AP!B32</f>
        <v/>
      </c>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366"/>
      <c r="AG31" s="401" t="str">
        <f t="shared" si="0"/>
        <v/>
      </c>
      <c r="AH31" s="400" t="str">
        <f ca="1">AP!G32</f>
        <v/>
      </c>
      <c r="AI31" s="367"/>
      <c r="AJ31" s="402" t="str">
        <f ca="1">'Ausdruck SAP'!F37</f>
        <v/>
      </c>
    </row>
    <row r="32" spans="1:36" ht="28.5" customHeight="1" x14ac:dyDescent="0.2">
      <c r="A32" s="66">
        <f t="shared" si="1"/>
        <v>28</v>
      </c>
      <c r="B32" s="78" t="str">
        <f>+AP!B33</f>
        <v/>
      </c>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366"/>
      <c r="AG32" s="401" t="str">
        <f t="shared" si="0"/>
        <v/>
      </c>
      <c r="AH32" s="400" t="str">
        <f ca="1">AP!G33</f>
        <v/>
      </c>
      <c r="AI32" s="367"/>
      <c r="AJ32" s="402" t="str">
        <f ca="1">'Ausdruck SAP'!F38</f>
        <v/>
      </c>
    </row>
    <row r="33" spans="1:36" ht="28.5" customHeight="1" x14ac:dyDescent="0.2">
      <c r="A33" s="66">
        <f t="shared" si="1"/>
        <v>29</v>
      </c>
      <c r="B33" s="78" t="str">
        <f>+AP!B34</f>
        <v/>
      </c>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366"/>
      <c r="AG33" s="401" t="str">
        <f t="shared" si="0"/>
        <v/>
      </c>
      <c r="AH33" s="400" t="str">
        <f ca="1">AP!G34</f>
        <v/>
      </c>
      <c r="AI33" s="367"/>
      <c r="AJ33" s="402" t="str">
        <f ca="1">'Ausdruck SAP'!F39</f>
        <v/>
      </c>
    </row>
    <row r="34" spans="1:36" ht="28.5" customHeight="1" x14ac:dyDescent="0.2">
      <c r="A34" s="66">
        <f t="shared" si="1"/>
        <v>30</v>
      </c>
      <c r="B34" s="78" t="str">
        <f>+AP!B35</f>
        <v/>
      </c>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366"/>
      <c r="AG34" s="401" t="str">
        <f t="shared" si="0"/>
        <v/>
      </c>
      <c r="AH34" s="400" t="str">
        <f ca="1">AP!G35</f>
        <v/>
      </c>
      <c r="AI34" s="367"/>
      <c r="AJ34" s="402" t="str">
        <f ca="1">'Ausdruck SAP'!F40</f>
        <v/>
      </c>
    </row>
    <row r="35" spans="1:36" ht="28.5" customHeight="1" x14ac:dyDescent="0.2">
      <c r="A35" s="66">
        <f t="shared" si="1"/>
        <v>31</v>
      </c>
      <c r="B35" s="78" t="str">
        <f>+AP!B36</f>
        <v/>
      </c>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366"/>
      <c r="AG35" s="401" t="str">
        <f t="shared" si="0"/>
        <v/>
      </c>
      <c r="AH35" s="400" t="str">
        <f ca="1">AP!G36</f>
        <v/>
      </c>
      <c r="AI35" s="367"/>
      <c r="AJ35" s="402" t="str">
        <f ca="1">'Ausdruck SAP'!F41</f>
        <v/>
      </c>
    </row>
    <row r="36" spans="1:36" ht="28.5" customHeight="1" x14ac:dyDescent="0.2">
      <c r="A36" s="66">
        <f t="shared" si="1"/>
        <v>32</v>
      </c>
      <c r="B36" s="78" t="str">
        <f>+AP!B37</f>
        <v/>
      </c>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366"/>
      <c r="AG36" s="401" t="str">
        <f t="shared" si="0"/>
        <v/>
      </c>
      <c r="AH36" s="400" t="str">
        <f ca="1">AP!G37</f>
        <v/>
      </c>
      <c r="AI36" s="367"/>
      <c r="AJ36" s="402" t="str">
        <f ca="1">'Ausdruck SAP'!F42</f>
        <v/>
      </c>
    </row>
    <row r="37" spans="1:36" ht="28.5" customHeight="1" x14ac:dyDescent="0.2">
      <c r="A37" s="66">
        <f t="shared" si="1"/>
        <v>33</v>
      </c>
      <c r="B37" s="78" t="str">
        <f>+AP!B38</f>
        <v/>
      </c>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366"/>
      <c r="AG37" s="401" t="str">
        <f t="shared" si="0"/>
        <v/>
      </c>
      <c r="AH37" s="400" t="str">
        <f ca="1">AP!G38</f>
        <v/>
      </c>
      <c r="AI37" s="367"/>
      <c r="AJ37" s="402" t="str">
        <f ca="1">'Ausdruck SAP'!F43</f>
        <v/>
      </c>
    </row>
    <row r="38" spans="1:36" ht="28.5" customHeight="1" x14ac:dyDescent="0.2">
      <c r="A38" s="66">
        <f t="shared" si="1"/>
        <v>34</v>
      </c>
      <c r="B38" s="78" t="str">
        <f>+AP!B39</f>
        <v/>
      </c>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366"/>
      <c r="AG38" s="401" t="str">
        <f t="shared" si="0"/>
        <v/>
      </c>
      <c r="AH38" s="400" t="str">
        <f ca="1">AP!G39</f>
        <v/>
      </c>
      <c r="AI38" s="367"/>
      <c r="AJ38" s="402" t="str">
        <f ca="1">'Ausdruck SAP'!F44</f>
        <v/>
      </c>
    </row>
    <row r="39" spans="1:36" ht="28.5" customHeight="1" x14ac:dyDescent="0.2">
      <c r="A39" s="66">
        <f>+A38+1</f>
        <v>35</v>
      </c>
      <c r="B39" s="78" t="str">
        <f>+AP!B40</f>
        <v/>
      </c>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366"/>
      <c r="AG39" s="401" t="str">
        <f t="shared" si="0"/>
        <v/>
      </c>
      <c r="AH39" s="400" t="str">
        <f ca="1">AP!G40</f>
        <v/>
      </c>
      <c r="AI39" s="367"/>
      <c r="AJ39" s="402" t="str">
        <f ca="1">'Ausdruck SAP'!F45</f>
        <v/>
      </c>
    </row>
    <row r="40" spans="1:36" ht="31.5" customHeight="1" x14ac:dyDescent="0.2">
      <c r="C40" s="64" t="e">
        <f>SUM(C5:C39)/COUNT(C5:C39)</f>
        <v>#DIV/0!</v>
      </c>
      <c r="D40" s="64" t="e">
        <f t="shared" ref="D40:AF40" si="2">SUM(D5:D39)/COUNT(D5:D39)</f>
        <v>#DIV/0!</v>
      </c>
      <c r="E40" s="64" t="e">
        <f t="shared" si="2"/>
        <v>#DIV/0!</v>
      </c>
      <c r="F40" s="64" t="e">
        <f t="shared" si="2"/>
        <v>#DIV/0!</v>
      </c>
      <c r="G40" s="64" t="e">
        <f t="shared" si="2"/>
        <v>#DIV/0!</v>
      </c>
      <c r="H40" s="64" t="e">
        <f t="shared" si="2"/>
        <v>#DIV/0!</v>
      </c>
      <c r="I40" s="64" t="e">
        <f t="shared" si="2"/>
        <v>#DIV/0!</v>
      </c>
      <c r="J40" s="64" t="e">
        <f t="shared" si="2"/>
        <v>#DIV/0!</v>
      </c>
      <c r="K40" s="64" t="e">
        <f t="shared" si="2"/>
        <v>#DIV/0!</v>
      </c>
      <c r="L40" s="64" t="e">
        <f t="shared" si="2"/>
        <v>#DIV/0!</v>
      </c>
      <c r="M40" s="64" t="e">
        <f t="shared" si="2"/>
        <v>#DIV/0!</v>
      </c>
      <c r="N40" s="64" t="e">
        <f t="shared" si="2"/>
        <v>#DIV/0!</v>
      </c>
      <c r="O40" s="64" t="e">
        <f t="shared" si="2"/>
        <v>#DIV/0!</v>
      </c>
      <c r="P40" s="64" t="e">
        <f t="shared" si="2"/>
        <v>#DIV/0!</v>
      </c>
      <c r="Q40" s="64" t="e">
        <f t="shared" si="2"/>
        <v>#DIV/0!</v>
      </c>
      <c r="R40" s="64" t="e">
        <f t="shared" si="2"/>
        <v>#DIV/0!</v>
      </c>
      <c r="S40" s="64" t="e">
        <f t="shared" si="2"/>
        <v>#DIV/0!</v>
      </c>
      <c r="T40" s="64" t="e">
        <f t="shared" si="2"/>
        <v>#DIV/0!</v>
      </c>
      <c r="U40" s="64" t="e">
        <f t="shared" si="2"/>
        <v>#DIV/0!</v>
      </c>
      <c r="V40" s="64" t="e">
        <f t="shared" si="2"/>
        <v>#DIV/0!</v>
      </c>
      <c r="W40" s="64" t="e">
        <f t="shared" si="2"/>
        <v>#DIV/0!</v>
      </c>
      <c r="X40" s="64" t="e">
        <f t="shared" si="2"/>
        <v>#DIV/0!</v>
      </c>
      <c r="Y40" s="64" t="e">
        <f t="shared" si="2"/>
        <v>#DIV/0!</v>
      </c>
      <c r="Z40" s="64" t="e">
        <f t="shared" si="2"/>
        <v>#DIV/0!</v>
      </c>
      <c r="AA40" s="64" t="e">
        <f t="shared" si="2"/>
        <v>#DIV/0!</v>
      </c>
      <c r="AB40" s="64" t="e">
        <f t="shared" si="2"/>
        <v>#DIV/0!</v>
      </c>
      <c r="AC40" s="64" t="e">
        <f t="shared" si="2"/>
        <v>#DIV/0!</v>
      </c>
      <c r="AD40" s="64" t="e">
        <f>SUM(AD5:AD39)/COUNT(AD5:AD39)</f>
        <v>#DIV/0!</v>
      </c>
      <c r="AE40" s="64" t="e">
        <f>SUM(AE5:AE39)/COUNT(AE5:AE39)</f>
        <v>#DIV/0!</v>
      </c>
      <c r="AF40" s="64" t="e">
        <f t="shared" si="2"/>
        <v>#DIV/0!</v>
      </c>
      <c r="AG40" s="398" t="e">
        <f>SUM(AG5:AG39)/COUNT(AG5:AG39)</f>
        <v>#DIV/0!</v>
      </c>
      <c r="AH40" s="397" t="e">
        <f ca="1">SUM(AH5:AH39)/COUNT(AH5:AH39)</f>
        <v>#DIV/0!</v>
      </c>
    </row>
    <row r="41" spans="1:36" x14ac:dyDescent="0.2">
      <c r="C41" s="65" t="e">
        <f>+C40/C4</f>
        <v>#DIV/0!</v>
      </c>
      <c r="D41" s="65" t="e">
        <f t="shared" ref="D41:AF41" si="3">+D40/D4</f>
        <v>#DIV/0!</v>
      </c>
      <c r="E41" s="65" t="e">
        <f t="shared" si="3"/>
        <v>#DIV/0!</v>
      </c>
      <c r="F41" s="65" t="e">
        <f t="shared" si="3"/>
        <v>#DIV/0!</v>
      </c>
      <c r="G41" s="65" t="e">
        <f t="shared" si="3"/>
        <v>#DIV/0!</v>
      </c>
      <c r="H41" s="65" t="e">
        <f t="shared" si="3"/>
        <v>#DIV/0!</v>
      </c>
      <c r="I41" s="65" t="e">
        <f t="shared" si="3"/>
        <v>#DIV/0!</v>
      </c>
      <c r="J41" s="65" t="e">
        <f t="shared" si="3"/>
        <v>#DIV/0!</v>
      </c>
      <c r="K41" s="65" t="e">
        <f t="shared" si="3"/>
        <v>#DIV/0!</v>
      </c>
      <c r="L41" s="65" t="e">
        <f t="shared" si="3"/>
        <v>#DIV/0!</v>
      </c>
      <c r="M41" s="65" t="e">
        <f t="shared" si="3"/>
        <v>#DIV/0!</v>
      </c>
      <c r="N41" s="65" t="e">
        <f t="shared" si="3"/>
        <v>#DIV/0!</v>
      </c>
      <c r="O41" s="65" t="e">
        <f t="shared" si="3"/>
        <v>#DIV/0!</v>
      </c>
      <c r="P41" s="65" t="e">
        <f t="shared" si="3"/>
        <v>#DIV/0!</v>
      </c>
      <c r="Q41" s="65" t="e">
        <f t="shared" si="3"/>
        <v>#DIV/0!</v>
      </c>
      <c r="R41" s="65" t="e">
        <f t="shared" si="3"/>
        <v>#DIV/0!</v>
      </c>
      <c r="S41" s="65" t="e">
        <f t="shared" si="3"/>
        <v>#DIV/0!</v>
      </c>
      <c r="T41" s="65" t="e">
        <f t="shared" si="3"/>
        <v>#DIV/0!</v>
      </c>
      <c r="U41" s="65" t="e">
        <f t="shared" si="3"/>
        <v>#DIV/0!</v>
      </c>
      <c r="V41" s="65" t="e">
        <f t="shared" si="3"/>
        <v>#DIV/0!</v>
      </c>
      <c r="W41" s="65" t="e">
        <f t="shared" si="3"/>
        <v>#DIV/0!</v>
      </c>
      <c r="X41" s="65" t="e">
        <f t="shared" si="3"/>
        <v>#DIV/0!</v>
      </c>
      <c r="Y41" s="65" t="e">
        <f t="shared" si="3"/>
        <v>#DIV/0!</v>
      </c>
      <c r="Z41" s="65" t="e">
        <f t="shared" si="3"/>
        <v>#DIV/0!</v>
      </c>
      <c r="AA41" s="65" t="e">
        <f t="shared" si="3"/>
        <v>#DIV/0!</v>
      </c>
      <c r="AB41" s="65" t="e">
        <f t="shared" si="3"/>
        <v>#DIV/0!</v>
      </c>
      <c r="AC41" s="65" t="e">
        <f t="shared" si="3"/>
        <v>#DIV/0!</v>
      </c>
      <c r="AD41" s="65" t="e">
        <f t="shared" si="3"/>
        <v>#DIV/0!</v>
      </c>
      <c r="AE41" s="65" t="e">
        <f t="shared" si="3"/>
        <v>#DIV/0!</v>
      </c>
      <c r="AF41" s="65" t="e">
        <f t="shared" si="3"/>
        <v>#DIV/0!</v>
      </c>
      <c r="AG41" s="365"/>
      <c r="AH41" s="376"/>
      <c r="AI41" s="93"/>
    </row>
  </sheetData>
  <sheetProtection algorithmName="SHA-512" hashValue="gKeCOPeY1/49iZYGrDt+IKWIYgtMSuVReAjl7GDdmYPI0ehxuF4/mgPLObE7wGLk4hByTfvlRc2z+ai7e7Qm0w==" saltValue="m30RDL+scugJX8JtCuSZWQ==" spinCount="100000" sheet="1" objects="1" scenarios="1"/>
  <mergeCells count="2">
    <mergeCell ref="AG3:AH3"/>
    <mergeCell ref="AI3:AJ3"/>
  </mergeCells>
  <phoneticPr fontId="0" type="noConversion"/>
  <pageMargins left="0.19685039370078741" right="0.19685039370078741" top="0.19685039370078741" bottom="0.19685039370078741" header="0" footer="0"/>
  <pageSetup paperSize="9" scale="73" fitToHeight="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2">
    <tabColor rgb="FFAB5353"/>
  </sheetPr>
  <dimension ref="A2:G66"/>
  <sheetViews>
    <sheetView zoomScale="130" zoomScaleNormal="130" workbookViewId="0">
      <selection activeCell="F11" sqref="F11"/>
    </sheetView>
  </sheetViews>
  <sheetFormatPr baseColWidth="10" defaultRowHeight="12.75" x14ac:dyDescent="0.2"/>
  <cols>
    <col min="1" max="1" width="4.7109375" style="79" customWidth="1"/>
    <col min="2" max="2" width="23.140625" style="79" customWidth="1"/>
    <col min="3" max="7" width="14.85546875" style="79" customWidth="1"/>
    <col min="8" max="16384" width="11.42578125" style="79"/>
  </cols>
  <sheetData>
    <row r="2" spans="1:7" ht="18" x14ac:dyDescent="0.25">
      <c r="A2" s="210" t="s">
        <v>56</v>
      </c>
      <c r="B2" s="211"/>
      <c r="C2" s="211"/>
      <c r="D2" s="211"/>
      <c r="E2" s="211" t="str">
        <f>AP!B1</f>
        <v>Abschlussprüfung 2023</v>
      </c>
      <c r="F2" s="211"/>
      <c r="G2" s="212"/>
    </row>
    <row r="3" spans="1:7" x14ac:dyDescent="0.2">
      <c r="A3" s="91"/>
      <c r="G3" s="89"/>
    </row>
    <row r="4" spans="1:7" x14ac:dyDescent="0.2">
      <c r="A4" s="91" t="str">
        <f>AP!B2</f>
        <v xml:space="preserve">Fach: </v>
      </c>
      <c r="G4" s="89"/>
    </row>
    <row r="5" spans="1:7" x14ac:dyDescent="0.2">
      <c r="A5" s="213" t="str">
        <f>AP!B3</f>
        <v xml:space="preserve">Klasse: </v>
      </c>
      <c r="B5" s="99"/>
      <c r="C5" s="90"/>
      <c r="D5" s="99"/>
      <c r="E5" s="90" t="str">
        <f>AP!E3</f>
        <v xml:space="preserve">Lehrer/in: </v>
      </c>
      <c r="F5" s="99"/>
      <c r="G5" s="100"/>
    </row>
    <row r="7" spans="1:7" ht="15.75" x14ac:dyDescent="0.25">
      <c r="A7" s="498" t="s">
        <v>55</v>
      </c>
      <c r="B7" s="499"/>
      <c r="C7" s="499"/>
      <c r="D7" s="499"/>
      <c r="E7" s="499"/>
      <c r="F7" s="499"/>
      <c r="G7" s="500"/>
    </row>
    <row r="8" spans="1:7" x14ac:dyDescent="0.2">
      <c r="A8" s="101"/>
      <c r="B8" s="97"/>
      <c r="C8" s="97"/>
      <c r="D8" s="97"/>
      <c r="E8" s="97"/>
      <c r="F8" s="97"/>
      <c r="G8" s="98"/>
    </row>
    <row r="9" spans="1:7" x14ac:dyDescent="0.2">
      <c r="A9" s="86"/>
      <c r="B9" s="102" t="s">
        <v>54</v>
      </c>
      <c r="C9" s="501" t="s">
        <v>114</v>
      </c>
      <c r="D9" s="501"/>
      <c r="E9" s="505" t="s">
        <v>113</v>
      </c>
      <c r="F9" s="506"/>
      <c r="G9" s="89"/>
    </row>
    <row r="10" spans="1:7" ht="15" customHeight="1" x14ac:dyDescent="0.2">
      <c r="A10" s="86"/>
      <c r="B10" s="102"/>
      <c r="C10" s="103" t="s">
        <v>116</v>
      </c>
      <c r="D10" s="103" t="s">
        <v>115</v>
      </c>
      <c r="E10" s="103" t="s">
        <v>116</v>
      </c>
      <c r="F10" s="103" t="s">
        <v>115</v>
      </c>
      <c r="G10" s="89"/>
    </row>
    <row r="11" spans="1:7" x14ac:dyDescent="0.2">
      <c r="A11" s="409">
        <v>1</v>
      </c>
      <c r="B11" s="410" t="str">
        <f>IF('1. Halbjahr'!B4&lt;&gt;"", '1. Halbjahr'!B4, "")</f>
        <v/>
      </c>
      <c r="C11" s="411" t="str">
        <f>IF(APRohpunkte!AG5="",'Eingabe Abitur'!Q11,APRohpunkte!AG5)</f>
        <v/>
      </c>
      <c r="D11" s="412" t="str">
        <f>IF(APRohpunkte!AI5="",'Eingabe Abitur'!Q12,APRohpunkte!AI5)</f>
        <v/>
      </c>
      <c r="E11" s="411" t="str">
        <f ca="1">AP!G6</f>
        <v/>
      </c>
      <c r="F11" s="413" t="str">
        <f ca="1">IF(D11="","",IF(AP!$E$42="BE",INDIRECT("AP!P"&amp;MATCH(100*ROUNDUP(D11, 0) / AP!$E$44,AP!$Q$4:$Q$20,-1)+4),D11))</f>
        <v/>
      </c>
      <c r="G11" s="414" t="str">
        <f ca="1">IF(AND(E11&lt;&gt;F11,F11&lt;&gt;""),"Keine Einigung","")</f>
        <v/>
      </c>
    </row>
    <row r="12" spans="1:7" x14ac:dyDescent="0.2">
      <c r="A12" s="415">
        <v>2</v>
      </c>
      <c r="B12" s="94" t="str">
        <f>IF('1. Halbjahr'!B5&lt;&gt;"", '1. Halbjahr'!B5, "")</f>
        <v/>
      </c>
      <c r="C12" s="104" t="str">
        <f>IF(APRohpunkte!AG6="",'Eingabe Abitur'!Q13,APRohpunkte!AG6)</f>
        <v/>
      </c>
      <c r="D12" s="105" t="str">
        <f>IF(APRohpunkte!AI6="",'Eingabe Abitur'!Q14,APRohpunkte!AI6)</f>
        <v/>
      </c>
      <c r="E12" s="104" t="str">
        <f ca="1">AP!G7</f>
        <v/>
      </c>
      <c r="F12" s="403" t="str">
        <f ca="1">IF(D12="","",IF(AP!$E$42="BE",INDIRECT("AP!P"&amp;MATCH(100*ROUNDUP(D12, 0) / AP!$E$44,AP!$Q$4:$Q$20,-1)+4),D12))</f>
        <v/>
      </c>
      <c r="G12" s="416" t="str">
        <f t="shared" ref="G12:G45" ca="1" si="0">IF(AND(E12&lt;&gt;F12,F12&lt;&gt;""),"Keine Einigung","")</f>
        <v/>
      </c>
    </row>
    <row r="13" spans="1:7" x14ac:dyDescent="0.2">
      <c r="A13" s="415">
        <v>3</v>
      </c>
      <c r="B13" s="94" t="str">
        <f>IF('1. Halbjahr'!B6&lt;&gt;"", '1. Halbjahr'!B6, "")</f>
        <v/>
      </c>
      <c r="C13" s="104" t="str">
        <f>IF(APRohpunkte!AG7="",'Eingabe Abitur'!Q15,APRohpunkte!AG7)</f>
        <v/>
      </c>
      <c r="D13" s="105" t="str">
        <f>IF(APRohpunkte!AI7="",'Eingabe Abitur'!Q16,APRohpunkte!AI7)</f>
        <v/>
      </c>
      <c r="E13" s="104" t="str">
        <f ca="1">AP!G8</f>
        <v/>
      </c>
      <c r="F13" s="403" t="str">
        <f ca="1">IF(D13="","",IF(AP!$E$42="BE",INDIRECT("AP!P"&amp;MATCH(100*ROUNDUP(D13, 0) / AP!$E$44,AP!$Q$4:$Q$20,-1)+4),D13))</f>
        <v/>
      </c>
      <c r="G13" s="416" t="str">
        <f t="shared" ca="1" si="0"/>
        <v/>
      </c>
    </row>
    <row r="14" spans="1:7" x14ac:dyDescent="0.2">
      <c r="A14" s="415">
        <v>4</v>
      </c>
      <c r="B14" s="94" t="str">
        <f>IF('1. Halbjahr'!B7&lt;&gt;"", '1. Halbjahr'!B7, "")</f>
        <v/>
      </c>
      <c r="C14" s="104" t="str">
        <f>IF(APRohpunkte!AG8="",'Eingabe Abitur'!Q17,APRohpunkte!AG8)</f>
        <v/>
      </c>
      <c r="D14" s="105" t="str">
        <f>IF(APRohpunkte!AI8="",'Eingabe Abitur'!Q18,APRohpunkte!AI8)</f>
        <v/>
      </c>
      <c r="E14" s="104" t="str">
        <f ca="1">AP!G9</f>
        <v/>
      </c>
      <c r="F14" s="403" t="str">
        <f ca="1">IF(D14="","",IF(AP!$E$42="BE",INDIRECT("AP!P"&amp;MATCH(100*ROUNDUP(D14, 0) / AP!$E$44,AP!$Q$4:$Q$20,-1)+4),D14))</f>
        <v/>
      </c>
      <c r="G14" s="416" t="str">
        <f t="shared" ca="1" si="0"/>
        <v/>
      </c>
    </row>
    <row r="15" spans="1:7" x14ac:dyDescent="0.2">
      <c r="A15" s="415">
        <v>5</v>
      </c>
      <c r="B15" s="94" t="str">
        <f>IF('1. Halbjahr'!B8&lt;&gt;"", '1. Halbjahr'!B8, "")</f>
        <v/>
      </c>
      <c r="C15" s="104" t="str">
        <f>IF(APRohpunkte!AG9="",'Eingabe Abitur'!Q19,APRohpunkte!AG9)</f>
        <v/>
      </c>
      <c r="D15" s="105" t="str">
        <f>IF(APRohpunkte!AI9="",'Eingabe Abitur'!Q20,APRohpunkte!AI9)</f>
        <v/>
      </c>
      <c r="E15" s="104" t="str">
        <f ca="1">AP!G10</f>
        <v/>
      </c>
      <c r="F15" s="403" t="str">
        <f ca="1">IF(D15="","",IF(AP!$E$42="BE",INDIRECT("AP!P"&amp;MATCH(100*ROUNDUP(D15, 0) / AP!$E$44,AP!$Q$4:$Q$20,-1)+4),D15))</f>
        <v/>
      </c>
      <c r="G15" s="416" t="str">
        <f t="shared" ca="1" si="0"/>
        <v/>
      </c>
    </row>
    <row r="16" spans="1:7" x14ac:dyDescent="0.2">
      <c r="A16" s="415">
        <v>6</v>
      </c>
      <c r="B16" s="94" t="str">
        <f>IF('1. Halbjahr'!B9&lt;&gt;"", '1. Halbjahr'!B9, "")</f>
        <v/>
      </c>
      <c r="C16" s="104" t="str">
        <f>IF(APRohpunkte!AG10="",'Eingabe Abitur'!Q21,APRohpunkte!AG10)</f>
        <v/>
      </c>
      <c r="D16" s="105" t="str">
        <f>IF(APRohpunkte!AI10="",'Eingabe Abitur'!Q22,APRohpunkte!AI10)</f>
        <v/>
      </c>
      <c r="E16" s="104" t="str">
        <f ca="1">AP!G11</f>
        <v/>
      </c>
      <c r="F16" s="403" t="str">
        <f ca="1">IF(D16="","",IF(AP!$E$42="BE",INDIRECT("AP!P"&amp;MATCH(100*ROUNDUP(D16, 0) / AP!$E$44,AP!$Q$4:$Q$20,-1)+4),D16))</f>
        <v/>
      </c>
      <c r="G16" s="416" t="str">
        <f t="shared" ca="1" si="0"/>
        <v/>
      </c>
    </row>
    <row r="17" spans="1:7" x14ac:dyDescent="0.2">
      <c r="A17" s="415">
        <v>7</v>
      </c>
      <c r="B17" s="94" t="str">
        <f>IF('1. Halbjahr'!B10&lt;&gt;"", '1. Halbjahr'!B10, "")</f>
        <v/>
      </c>
      <c r="C17" s="104" t="str">
        <f>IF(APRohpunkte!AG11="",'Eingabe Abitur'!Q23,APRohpunkte!AG11)</f>
        <v/>
      </c>
      <c r="D17" s="105" t="str">
        <f>IF(APRohpunkte!AI11="",'Eingabe Abitur'!Q24,APRohpunkte!AI11)</f>
        <v/>
      </c>
      <c r="E17" s="104" t="str">
        <f ca="1">AP!G12</f>
        <v/>
      </c>
      <c r="F17" s="403" t="str">
        <f ca="1">IF(D17="","",IF(AP!$E$42="BE",INDIRECT("AP!P"&amp;MATCH(100*ROUNDUP(D17, 0) / AP!$E$44,AP!$Q$4:$Q$20,-1)+4),D17))</f>
        <v/>
      </c>
      <c r="G17" s="416" t="str">
        <f t="shared" ca="1" si="0"/>
        <v/>
      </c>
    </row>
    <row r="18" spans="1:7" x14ac:dyDescent="0.2">
      <c r="A18" s="415">
        <v>8</v>
      </c>
      <c r="B18" s="94" t="str">
        <f>IF('1. Halbjahr'!B11&lt;&gt;"", '1. Halbjahr'!B11, "")</f>
        <v/>
      </c>
      <c r="C18" s="104" t="str">
        <f>IF(APRohpunkte!AG12="",'Eingabe Abitur'!Q25,APRohpunkte!AG12)</f>
        <v/>
      </c>
      <c r="D18" s="105" t="str">
        <f>IF(APRohpunkte!AI12="",'Eingabe Abitur'!Q26,APRohpunkte!AI12)</f>
        <v/>
      </c>
      <c r="E18" s="104" t="str">
        <f ca="1">AP!G13</f>
        <v/>
      </c>
      <c r="F18" s="403" t="str">
        <f ca="1">IF(D18="","",IF(AP!$E$42="BE",INDIRECT("AP!P"&amp;MATCH(100*ROUNDUP(D18, 0) / AP!$E$44,AP!$Q$4:$Q$20,-1)+4),D18))</f>
        <v/>
      </c>
      <c r="G18" s="416" t="str">
        <f t="shared" ca="1" si="0"/>
        <v/>
      </c>
    </row>
    <row r="19" spans="1:7" x14ac:dyDescent="0.2">
      <c r="A19" s="415">
        <v>9</v>
      </c>
      <c r="B19" s="94" t="str">
        <f>IF('1. Halbjahr'!B12&lt;&gt;"", '1. Halbjahr'!B12, "")</f>
        <v/>
      </c>
      <c r="C19" s="104" t="str">
        <f>IF(APRohpunkte!AG13="",'Eingabe Abitur'!Q27,APRohpunkte!AG13)</f>
        <v/>
      </c>
      <c r="D19" s="105" t="str">
        <f>IF(APRohpunkte!AI13="",'Eingabe Abitur'!Q28,APRohpunkte!AI13)</f>
        <v/>
      </c>
      <c r="E19" s="104" t="str">
        <f ca="1">AP!G14</f>
        <v/>
      </c>
      <c r="F19" s="403" t="str">
        <f ca="1">IF(D19="","",IF(AP!$E$42="BE",INDIRECT("AP!P"&amp;MATCH(100*ROUNDUP(D19, 0) / AP!$E$44,AP!$Q$4:$Q$20,-1)+4),D19))</f>
        <v/>
      </c>
      <c r="G19" s="416" t="str">
        <f t="shared" ca="1" si="0"/>
        <v/>
      </c>
    </row>
    <row r="20" spans="1:7" x14ac:dyDescent="0.2">
      <c r="A20" s="415">
        <v>10</v>
      </c>
      <c r="B20" s="94" t="str">
        <f>IF('1. Halbjahr'!B13&lt;&gt;"", '1. Halbjahr'!B13, "")</f>
        <v/>
      </c>
      <c r="C20" s="104" t="str">
        <f>IF(APRohpunkte!AG14="",'Eingabe Abitur'!Q29,APRohpunkte!AG14)</f>
        <v/>
      </c>
      <c r="D20" s="105" t="str">
        <f>IF(APRohpunkte!AI14="",'Eingabe Abitur'!Q30,APRohpunkte!AI14)</f>
        <v/>
      </c>
      <c r="E20" s="104" t="str">
        <f ca="1">AP!G15</f>
        <v/>
      </c>
      <c r="F20" s="403" t="str">
        <f ca="1">IF(D20="","",IF(AP!$E$42="BE",INDIRECT("AP!P"&amp;MATCH(100*ROUNDUP(D20, 0) / AP!$E$44,AP!$Q$4:$Q$20,-1)+4),D20))</f>
        <v/>
      </c>
      <c r="G20" s="416" t="str">
        <f t="shared" ca="1" si="0"/>
        <v/>
      </c>
    </row>
    <row r="21" spans="1:7" x14ac:dyDescent="0.2">
      <c r="A21" s="415">
        <v>11</v>
      </c>
      <c r="B21" s="94" t="str">
        <f>IF('1. Halbjahr'!B14&lt;&gt;"", '1. Halbjahr'!B14, "")</f>
        <v/>
      </c>
      <c r="C21" s="104" t="str">
        <f>IF(APRohpunkte!AG15="",'Eingabe Abitur'!Q31,APRohpunkte!AG15)</f>
        <v/>
      </c>
      <c r="D21" s="105" t="str">
        <f>IF(APRohpunkte!AI15="",'Eingabe Abitur'!Q32,APRohpunkte!AI15)</f>
        <v/>
      </c>
      <c r="E21" s="104" t="str">
        <f ca="1">AP!G16</f>
        <v/>
      </c>
      <c r="F21" s="403" t="str">
        <f ca="1">IF(D21="","",IF(AP!$E$42="BE",INDIRECT("AP!P"&amp;MATCH(100*ROUNDUP(D21, 0) / AP!$E$44,AP!$Q$4:$Q$20,-1)+4),D21))</f>
        <v/>
      </c>
      <c r="G21" s="416" t="str">
        <f t="shared" ca="1" si="0"/>
        <v/>
      </c>
    </row>
    <row r="22" spans="1:7" x14ac:dyDescent="0.2">
      <c r="A22" s="415">
        <v>12</v>
      </c>
      <c r="B22" s="94" t="str">
        <f>IF('1. Halbjahr'!B15&lt;&gt;"", '1. Halbjahr'!B15, "")</f>
        <v/>
      </c>
      <c r="C22" s="104" t="str">
        <f>IF(APRohpunkte!AG16="",'Eingabe Abitur'!Q33,APRohpunkte!AG16)</f>
        <v/>
      </c>
      <c r="D22" s="105" t="str">
        <f>IF(APRohpunkte!AI16="",'Eingabe Abitur'!Q34,APRohpunkte!AI16)</f>
        <v/>
      </c>
      <c r="E22" s="104" t="str">
        <f ca="1">AP!G17</f>
        <v/>
      </c>
      <c r="F22" s="403" t="str">
        <f ca="1">IF(D22="","",IF(AP!$E$42="BE",INDIRECT("AP!P"&amp;MATCH(100*ROUNDUP(D22, 0) / AP!$E$44,AP!$Q$4:$Q$20,-1)+4),D22))</f>
        <v/>
      </c>
      <c r="G22" s="416" t="str">
        <f t="shared" ca="1" si="0"/>
        <v/>
      </c>
    </row>
    <row r="23" spans="1:7" x14ac:dyDescent="0.2">
      <c r="A23" s="415">
        <v>13</v>
      </c>
      <c r="B23" s="94" t="str">
        <f>IF('1. Halbjahr'!B16&lt;&gt;"", '1. Halbjahr'!B16, "")</f>
        <v/>
      </c>
      <c r="C23" s="104" t="str">
        <f>IF(APRohpunkte!AG17="",'Eingabe Abitur'!Q35,APRohpunkte!AG17)</f>
        <v/>
      </c>
      <c r="D23" s="105" t="str">
        <f>IF(APRohpunkte!AI17="",'Eingabe Abitur'!Q36,APRohpunkte!AI17)</f>
        <v/>
      </c>
      <c r="E23" s="104" t="str">
        <f ca="1">AP!G18</f>
        <v/>
      </c>
      <c r="F23" s="403" t="str">
        <f ca="1">IF(D23="","",IF(AP!$E$42="BE",INDIRECT("AP!P"&amp;MATCH(100*ROUNDUP(D23, 0) / AP!$E$44,AP!$Q$4:$Q$20,-1)+4),D23))</f>
        <v/>
      </c>
      <c r="G23" s="416" t="str">
        <f t="shared" ca="1" si="0"/>
        <v/>
      </c>
    </row>
    <row r="24" spans="1:7" x14ac:dyDescent="0.2">
      <c r="A24" s="415">
        <v>14</v>
      </c>
      <c r="B24" s="94" t="str">
        <f>IF('1. Halbjahr'!B17&lt;&gt;"", '1. Halbjahr'!B17, "")</f>
        <v/>
      </c>
      <c r="C24" s="104" t="str">
        <f>IF(APRohpunkte!AG18="",'Eingabe Abitur'!Q37,APRohpunkte!AG18)</f>
        <v/>
      </c>
      <c r="D24" s="105" t="str">
        <f>IF(APRohpunkte!AI18="",'Eingabe Abitur'!Q38,APRohpunkte!AI18)</f>
        <v/>
      </c>
      <c r="E24" s="104" t="str">
        <f ca="1">AP!G19</f>
        <v/>
      </c>
      <c r="F24" s="403" t="str">
        <f ca="1">IF(D24="","",IF(AP!$E$42="BE",INDIRECT("AP!P"&amp;MATCH(100*ROUNDUP(D24, 0) / AP!$E$44,AP!$Q$4:$Q$20,-1)+4),D24))</f>
        <v/>
      </c>
      <c r="G24" s="416" t="str">
        <f t="shared" ca="1" si="0"/>
        <v/>
      </c>
    </row>
    <row r="25" spans="1:7" x14ac:dyDescent="0.2">
      <c r="A25" s="415">
        <v>15</v>
      </c>
      <c r="B25" s="94" t="str">
        <f>IF('1. Halbjahr'!B18&lt;&gt;"", '1. Halbjahr'!B18, "")</f>
        <v/>
      </c>
      <c r="C25" s="104" t="str">
        <f>IF(APRohpunkte!AG19="",'Eingabe Abitur'!Q39,APRohpunkte!AG19)</f>
        <v/>
      </c>
      <c r="D25" s="105" t="str">
        <f>IF(APRohpunkte!AI19="",'Eingabe Abitur'!Q40,APRohpunkte!AI19)</f>
        <v/>
      </c>
      <c r="E25" s="104" t="str">
        <f ca="1">AP!G20</f>
        <v/>
      </c>
      <c r="F25" s="403" t="str">
        <f ca="1">IF(D25="","",IF(AP!$E$42="BE",INDIRECT("AP!P"&amp;MATCH(100*ROUNDUP(D25, 0) / AP!$E$44,AP!$Q$4:$Q$20,-1)+4),D25))</f>
        <v/>
      </c>
      <c r="G25" s="416" t="str">
        <f t="shared" ca="1" si="0"/>
        <v/>
      </c>
    </row>
    <row r="26" spans="1:7" x14ac:dyDescent="0.2">
      <c r="A26" s="415">
        <v>16</v>
      </c>
      <c r="B26" s="94" t="str">
        <f>IF('1. Halbjahr'!B19&lt;&gt;"", '1. Halbjahr'!B19, "")</f>
        <v/>
      </c>
      <c r="C26" s="104" t="str">
        <f>IF(APRohpunkte!AG20="",'Eingabe Abitur'!Q41,APRohpunkte!AG20)</f>
        <v/>
      </c>
      <c r="D26" s="105" t="str">
        <f>IF(APRohpunkte!AI20="",'Eingabe Abitur'!Q42,APRohpunkte!AI20)</f>
        <v/>
      </c>
      <c r="E26" s="104" t="str">
        <f ca="1">AP!G21</f>
        <v/>
      </c>
      <c r="F26" s="403" t="str">
        <f ca="1">IF(D26="","",IF(AP!$E$42="BE",INDIRECT("AP!P"&amp;MATCH(100*ROUNDUP(D26, 0) / AP!$E$44,AP!$Q$4:$Q$20,-1)+4),D26))</f>
        <v/>
      </c>
      <c r="G26" s="416" t="str">
        <f t="shared" ca="1" si="0"/>
        <v/>
      </c>
    </row>
    <row r="27" spans="1:7" x14ac:dyDescent="0.2">
      <c r="A27" s="415">
        <v>17</v>
      </c>
      <c r="B27" s="94" t="str">
        <f>IF('1. Halbjahr'!B20&lt;&gt;"", '1. Halbjahr'!B20, "")</f>
        <v/>
      </c>
      <c r="C27" s="104" t="str">
        <f>IF(APRohpunkte!AG21="",'Eingabe Abitur'!Q43,APRohpunkte!AG21)</f>
        <v/>
      </c>
      <c r="D27" s="105" t="str">
        <f>IF(APRohpunkte!AI21="",'Eingabe Abitur'!Q44,APRohpunkte!AI21)</f>
        <v/>
      </c>
      <c r="E27" s="104" t="str">
        <f ca="1">AP!G22</f>
        <v/>
      </c>
      <c r="F27" s="403" t="str">
        <f ca="1">IF(D27="","",IF(AP!$E$42="BE",INDIRECT("AP!P"&amp;MATCH(100*ROUNDUP(D27, 0) / AP!$E$44,AP!$Q$4:$Q$20,-1)+4),D27))</f>
        <v/>
      </c>
      <c r="G27" s="416" t="str">
        <f t="shared" ca="1" si="0"/>
        <v/>
      </c>
    </row>
    <row r="28" spans="1:7" x14ac:dyDescent="0.2">
      <c r="A28" s="415">
        <v>18</v>
      </c>
      <c r="B28" s="94" t="str">
        <f>IF('1. Halbjahr'!B21&lt;&gt;"", '1. Halbjahr'!B21, "")</f>
        <v/>
      </c>
      <c r="C28" s="104" t="str">
        <f>IF(APRohpunkte!AG22="",'Eingabe Abitur'!Q45,APRohpunkte!AG22)</f>
        <v/>
      </c>
      <c r="D28" s="105" t="str">
        <f>IF(APRohpunkte!AI22="",'Eingabe Abitur'!Q46,APRohpunkte!AI22)</f>
        <v/>
      </c>
      <c r="E28" s="104" t="str">
        <f ca="1">AP!G23</f>
        <v/>
      </c>
      <c r="F28" s="403" t="str">
        <f ca="1">IF(D28="","",IF(AP!$E$42="BE",INDIRECT("AP!P"&amp;MATCH(100*ROUNDUP(D28, 0) / AP!$E$44,AP!$Q$4:$Q$20,-1)+4),D28))</f>
        <v/>
      </c>
      <c r="G28" s="416" t="str">
        <f t="shared" ca="1" si="0"/>
        <v/>
      </c>
    </row>
    <row r="29" spans="1:7" x14ac:dyDescent="0.2">
      <c r="A29" s="415">
        <v>19</v>
      </c>
      <c r="B29" s="94" t="str">
        <f>IF('1. Halbjahr'!B22&lt;&gt;"", '1. Halbjahr'!B22, "")</f>
        <v/>
      </c>
      <c r="C29" s="104" t="str">
        <f>IF(APRohpunkte!AG23="",'Eingabe Abitur'!Q47,APRohpunkte!AG23)</f>
        <v/>
      </c>
      <c r="D29" s="105" t="str">
        <f>IF(APRohpunkte!AI23="",'Eingabe Abitur'!Q48,APRohpunkte!AI23)</f>
        <v/>
      </c>
      <c r="E29" s="104" t="str">
        <f ca="1">AP!G24</f>
        <v/>
      </c>
      <c r="F29" s="403" t="str">
        <f ca="1">IF(D29="","",IF(AP!$E$42="BE",INDIRECT("AP!P"&amp;MATCH(100*ROUNDUP(D29, 0) / AP!$E$44,AP!$Q$4:$Q$20,-1)+4),D29))</f>
        <v/>
      </c>
      <c r="G29" s="416" t="str">
        <f t="shared" ca="1" si="0"/>
        <v/>
      </c>
    </row>
    <row r="30" spans="1:7" x14ac:dyDescent="0.2">
      <c r="A30" s="415">
        <v>20</v>
      </c>
      <c r="B30" s="94" t="str">
        <f>IF('1. Halbjahr'!B23&lt;&gt;"", '1. Halbjahr'!B23, "")</f>
        <v/>
      </c>
      <c r="C30" s="104" t="str">
        <f>IF(APRohpunkte!AG24="",'Eingabe Abitur'!Q49,APRohpunkte!AG24)</f>
        <v/>
      </c>
      <c r="D30" s="105" t="str">
        <f>IF(APRohpunkte!AI24="",'Eingabe Abitur'!Q50,APRohpunkte!AI24)</f>
        <v/>
      </c>
      <c r="E30" s="104" t="str">
        <f ca="1">AP!G25</f>
        <v/>
      </c>
      <c r="F30" s="403" t="str">
        <f ca="1">IF(D30="","",IF(AP!$E$42="BE",INDIRECT("AP!P"&amp;MATCH(100*ROUNDUP(D30, 0) / AP!$E$44,AP!$Q$4:$Q$20,-1)+4),D30))</f>
        <v/>
      </c>
      <c r="G30" s="416" t="str">
        <f t="shared" ca="1" si="0"/>
        <v/>
      </c>
    </row>
    <row r="31" spans="1:7" x14ac:dyDescent="0.2">
      <c r="A31" s="415">
        <v>21</v>
      </c>
      <c r="B31" s="94" t="str">
        <f>IF('1. Halbjahr'!B24&lt;&gt;"", '1. Halbjahr'!B24, "")</f>
        <v/>
      </c>
      <c r="C31" s="104" t="str">
        <f>IF(APRohpunkte!AG25="",'Eingabe Abitur'!Q51,APRohpunkte!AG25)</f>
        <v/>
      </c>
      <c r="D31" s="105" t="str">
        <f>IF(APRohpunkte!AI25="",'Eingabe Abitur'!Q52,APRohpunkte!AI25)</f>
        <v/>
      </c>
      <c r="E31" s="104" t="str">
        <f ca="1">AP!G26</f>
        <v/>
      </c>
      <c r="F31" s="403" t="str">
        <f ca="1">IF(D31="","",IF(AP!$E$42="BE",INDIRECT("AP!P"&amp;MATCH(100*ROUNDUP(D31, 0) / AP!$E$44,AP!$Q$4:$Q$20,-1)+4),D31))</f>
        <v/>
      </c>
      <c r="G31" s="416" t="str">
        <f t="shared" ca="1" si="0"/>
        <v/>
      </c>
    </row>
    <row r="32" spans="1:7" x14ac:dyDescent="0.2">
      <c r="A32" s="415">
        <v>22</v>
      </c>
      <c r="B32" s="94" t="str">
        <f>IF('1. Halbjahr'!B25&lt;&gt;"", '1. Halbjahr'!B25, "")</f>
        <v/>
      </c>
      <c r="C32" s="104" t="str">
        <f>IF(APRohpunkte!AG26="",'Eingabe Abitur'!Q53,APRohpunkte!AG26)</f>
        <v/>
      </c>
      <c r="D32" s="105" t="str">
        <f>IF(APRohpunkte!AI26="",'Eingabe Abitur'!Q54,APRohpunkte!AI26)</f>
        <v/>
      </c>
      <c r="E32" s="104" t="str">
        <f ca="1">AP!G27</f>
        <v/>
      </c>
      <c r="F32" s="403" t="str">
        <f ca="1">IF(D32="","",IF(AP!$E$42="BE",INDIRECT("AP!P"&amp;MATCH(100*ROUNDUP(D32, 0) / AP!$E$44,AP!$Q$4:$Q$20,-1)+4),D32))</f>
        <v/>
      </c>
      <c r="G32" s="416" t="str">
        <f t="shared" ca="1" si="0"/>
        <v/>
      </c>
    </row>
    <row r="33" spans="1:7" x14ac:dyDescent="0.2">
      <c r="A33" s="415">
        <v>23</v>
      </c>
      <c r="B33" s="94" t="str">
        <f>IF('1. Halbjahr'!B26&lt;&gt;"", '1. Halbjahr'!B26, "")</f>
        <v/>
      </c>
      <c r="C33" s="104" t="str">
        <f>IF(APRohpunkte!AG27="",'Eingabe Abitur'!Q55,APRohpunkte!AG27)</f>
        <v/>
      </c>
      <c r="D33" s="105" t="str">
        <f>IF(APRohpunkte!AI27="",'Eingabe Abitur'!Q56,APRohpunkte!AI27)</f>
        <v/>
      </c>
      <c r="E33" s="104" t="str">
        <f ca="1">AP!G28</f>
        <v/>
      </c>
      <c r="F33" s="403" t="str">
        <f ca="1">IF(D33="","",IF(AP!$E$42="BE",INDIRECT("AP!P"&amp;MATCH(100*ROUNDUP(D33, 0) / AP!$E$44,AP!$Q$4:$Q$20,-1)+4),D33))</f>
        <v/>
      </c>
      <c r="G33" s="416" t="str">
        <f t="shared" ca="1" si="0"/>
        <v/>
      </c>
    </row>
    <row r="34" spans="1:7" x14ac:dyDescent="0.2">
      <c r="A34" s="415">
        <v>24</v>
      </c>
      <c r="B34" s="94" t="str">
        <f>IF('1. Halbjahr'!B27&lt;&gt;"", '1. Halbjahr'!B27, "")</f>
        <v/>
      </c>
      <c r="C34" s="104" t="str">
        <f>IF(APRohpunkte!AG28="",'Eingabe Abitur'!Q57,APRohpunkte!AG28)</f>
        <v/>
      </c>
      <c r="D34" s="105" t="str">
        <f>IF(APRohpunkte!AI28="",'Eingabe Abitur'!Q58,APRohpunkte!AI28)</f>
        <v/>
      </c>
      <c r="E34" s="104" t="str">
        <f ca="1">AP!G29</f>
        <v/>
      </c>
      <c r="F34" s="403" t="str">
        <f ca="1">IF(D34="","",IF(AP!$E$42="BE",INDIRECT("AP!P"&amp;MATCH(100*ROUNDUP(D34, 0) / AP!$E$44,AP!$Q$4:$Q$20,-1)+4),D34))</f>
        <v/>
      </c>
      <c r="G34" s="416" t="str">
        <f t="shared" ca="1" si="0"/>
        <v/>
      </c>
    </row>
    <row r="35" spans="1:7" x14ac:dyDescent="0.2">
      <c r="A35" s="415">
        <v>25</v>
      </c>
      <c r="B35" s="94" t="str">
        <f>IF('1. Halbjahr'!B28&lt;&gt;"", '1. Halbjahr'!B28, "")</f>
        <v/>
      </c>
      <c r="C35" s="104" t="str">
        <f>IF(APRohpunkte!AG29="",'Eingabe Abitur'!Q59,APRohpunkte!AG29)</f>
        <v/>
      </c>
      <c r="D35" s="105" t="str">
        <f>IF(APRohpunkte!AI29="",'Eingabe Abitur'!Q60,APRohpunkte!AI29)</f>
        <v/>
      </c>
      <c r="E35" s="104" t="str">
        <f ca="1">AP!G30</f>
        <v/>
      </c>
      <c r="F35" s="403" t="str">
        <f ca="1">IF(D35="","",IF(AP!$E$42="BE",INDIRECT("AP!P"&amp;MATCH(100*ROUNDUP(D35, 0) / AP!$E$44,AP!$Q$4:$Q$20,-1)+4),D35))</f>
        <v/>
      </c>
      <c r="G35" s="416" t="str">
        <f t="shared" ca="1" si="0"/>
        <v/>
      </c>
    </row>
    <row r="36" spans="1:7" x14ac:dyDescent="0.2">
      <c r="A36" s="415">
        <v>26</v>
      </c>
      <c r="B36" s="94" t="str">
        <f>IF('1. Halbjahr'!B29&lt;&gt;"", '1. Halbjahr'!B29, "")</f>
        <v/>
      </c>
      <c r="C36" s="104" t="str">
        <f>IF(APRohpunkte!AG30="",'Eingabe Abitur'!Q61,APRohpunkte!AG30)</f>
        <v/>
      </c>
      <c r="D36" s="105" t="str">
        <f>IF(APRohpunkte!AI30="",'Eingabe Abitur'!Q62,APRohpunkte!AI30)</f>
        <v/>
      </c>
      <c r="E36" s="104" t="str">
        <f ca="1">AP!G31</f>
        <v/>
      </c>
      <c r="F36" s="403" t="str">
        <f ca="1">IF(D36="","",IF(AP!$E$42="BE",INDIRECT("AP!P"&amp;MATCH(100*ROUNDUP(D36, 0) / AP!$E$44,AP!$Q$4:$Q$20,-1)+4),D36))</f>
        <v/>
      </c>
      <c r="G36" s="416" t="str">
        <f t="shared" ca="1" si="0"/>
        <v/>
      </c>
    </row>
    <row r="37" spans="1:7" x14ac:dyDescent="0.2">
      <c r="A37" s="415">
        <v>27</v>
      </c>
      <c r="B37" s="94" t="str">
        <f>IF('1. Halbjahr'!B30&lt;&gt;"", '1. Halbjahr'!B30, "")</f>
        <v/>
      </c>
      <c r="C37" s="104" t="str">
        <f>IF(APRohpunkte!AG31="",'Eingabe Abitur'!Q63,APRohpunkte!AG31)</f>
        <v/>
      </c>
      <c r="D37" s="105" t="str">
        <f>IF(APRohpunkte!AI31="",'Eingabe Abitur'!Q64,APRohpunkte!AI31)</f>
        <v/>
      </c>
      <c r="E37" s="104" t="str">
        <f ca="1">AP!G32</f>
        <v/>
      </c>
      <c r="F37" s="403" t="str">
        <f ca="1">IF(D37="","",IF(AP!$E$42="BE",INDIRECT("AP!P"&amp;MATCH(100*ROUNDUP(D37, 0) / AP!$E$44,AP!$Q$4:$Q$20,-1)+4),D37))</f>
        <v/>
      </c>
      <c r="G37" s="416" t="str">
        <f t="shared" ca="1" si="0"/>
        <v/>
      </c>
    </row>
    <row r="38" spans="1:7" x14ac:dyDescent="0.2">
      <c r="A38" s="415">
        <v>28</v>
      </c>
      <c r="B38" s="94" t="str">
        <f>IF('1. Halbjahr'!B31&lt;&gt;"", '1. Halbjahr'!B31, "")</f>
        <v/>
      </c>
      <c r="C38" s="104" t="str">
        <f>IF(APRohpunkte!AG32="",'Eingabe Abitur'!Q65,APRohpunkte!AG32)</f>
        <v/>
      </c>
      <c r="D38" s="105" t="str">
        <f>IF(APRohpunkte!AI32="",'Eingabe Abitur'!Q66,APRohpunkte!AI32)</f>
        <v/>
      </c>
      <c r="E38" s="104" t="str">
        <f ca="1">AP!G33</f>
        <v/>
      </c>
      <c r="F38" s="403" t="str">
        <f ca="1">IF(D38="","",IF(AP!$E$42="BE",INDIRECT("AP!P"&amp;MATCH(100*ROUNDUP(D38, 0) / AP!$E$44,AP!$Q$4:$Q$20,-1)+4),D38))</f>
        <v/>
      </c>
      <c r="G38" s="416" t="str">
        <f t="shared" ca="1" si="0"/>
        <v/>
      </c>
    </row>
    <row r="39" spans="1:7" x14ac:dyDescent="0.2">
      <c r="A39" s="415">
        <v>29</v>
      </c>
      <c r="B39" s="94" t="str">
        <f>IF('1. Halbjahr'!B32&lt;&gt;"", '1. Halbjahr'!B32, "")</f>
        <v/>
      </c>
      <c r="C39" s="104" t="str">
        <f>IF(APRohpunkte!AG33="",'Eingabe Abitur'!Q67,APRohpunkte!AG33)</f>
        <v/>
      </c>
      <c r="D39" s="105" t="str">
        <f>IF(APRohpunkte!AI33="",'Eingabe Abitur'!Q68,APRohpunkte!AI33)</f>
        <v/>
      </c>
      <c r="E39" s="104" t="str">
        <f ca="1">AP!G34</f>
        <v/>
      </c>
      <c r="F39" s="403" t="str">
        <f ca="1">IF(D39="","",IF(AP!$E$42="BE",INDIRECT("AP!P"&amp;MATCH(100*ROUNDUP(D39, 0) / AP!$E$44,AP!$Q$4:$Q$20,-1)+4),D39))</f>
        <v/>
      </c>
      <c r="G39" s="416" t="str">
        <f t="shared" ca="1" si="0"/>
        <v/>
      </c>
    </row>
    <row r="40" spans="1:7" x14ac:dyDescent="0.2">
      <c r="A40" s="415">
        <v>30</v>
      </c>
      <c r="B40" s="94" t="str">
        <f>IF('1. Halbjahr'!B33&lt;&gt;"", '1. Halbjahr'!B33, "")</f>
        <v/>
      </c>
      <c r="C40" s="104" t="str">
        <f>IF(APRohpunkte!AG34="",'Eingabe Abitur'!Q69,APRohpunkte!AG34)</f>
        <v/>
      </c>
      <c r="D40" s="105" t="str">
        <f>IF(APRohpunkte!AI34="",'Eingabe Abitur'!Q70,APRohpunkte!AI34)</f>
        <v/>
      </c>
      <c r="E40" s="104" t="str">
        <f ca="1">AP!G35</f>
        <v/>
      </c>
      <c r="F40" s="403" t="str">
        <f ca="1">IF(D40="","",IF(AP!$E$42="BE",INDIRECT("AP!P"&amp;MATCH(100*ROUNDUP(D40, 0) / AP!$E$44,AP!$Q$4:$Q$20,-1)+4),D40))</f>
        <v/>
      </c>
      <c r="G40" s="416" t="str">
        <f t="shared" ca="1" si="0"/>
        <v/>
      </c>
    </row>
    <row r="41" spans="1:7" x14ac:dyDescent="0.2">
      <c r="A41" s="415">
        <v>31</v>
      </c>
      <c r="B41" s="94" t="str">
        <f>IF('1. Halbjahr'!B34&lt;&gt;"", '1. Halbjahr'!B34, "")</f>
        <v/>
      </c>
      <c r="C41" s="104" t="str">
        <f>IF(APRohpunkte!AG35="",'Eingabe Abitur'!Q71,APRohpunkte!AG35)</f>
        <v/>
      </c>
      <c r="D41" s="105" t="str">
        <f>IF(APRohpunkte!AI35="",'Eingabe Abitur'!Q72,APRohpunkte!AI35)</f>
        <v/>
      </c>
      <c r="E41" s="104" t="str">
        <f ca="1">AP!G36</f>
        <v/>
      </c>
      <c r="F41" s="403" t="str">
        <f ca="1">IF(D41="","",IF(AP!$E$42="BE",INDIRECT("AP!P"&amp;MATCH(100*ROUNDUP(D41, 0) / AP!$E$44,AP!$Q$4:$Q$20,-1)+4),D41))</f>
        <v/>
      </c>
      <c r="G41" s="416" t="str">
        <f t="shared" ca="1" si="0"/>
        <v/>
      </c>
    </row>
    <row r="42" spans="1:7" x14ac:dyDescent="0.2">
      <c r="A42" s="415">
        <v>32</v>
      </c>
      <c r="B42" s="94" t="str">
        <f>IF('1. Halbjahr'!B35&lt;&gt;"", '1. Halbjahr'!B35, "")</f>
        <v/>
      </c>
      <c r="C42" s="104" t="str">
        <f>IF(APRohpunkte!AG36="",'Eingabe Abitur'!Q73,APRohpunkte!AG36)</f>
        <v/>
      </c>
      <c r="D42" s="105" t="str">
        <f>IF(APRohpunkte!AI36="",'Eingabe Abitur'!Q74,APRohpunkte!AI36)</f>
        <v/>
      </c>
      <c r="E42" s="104" t="str">
        <f ca="1">AP!G37</f>
        <v/>
      </c>
      <c r="F42" s="403" t="str">
        <f ca="1">IF(D42="","",IF(AP!$E$42="BE",INDIRECT("AP!P"&amp;MATCH(100*ROUNDUP(D42, 0) / AP!$E$44,AP!$Q$4:$Q$20,-1)+4),D42))</f>
        <v/>
      </c>
      <c r="G42" s="416" t="str">
        <f t="shared" ca="1" si="0"/>
        <v/>
      </c>
    </row>
    <row r="43" spans="1:7" x14ac:dyDescent="0.2">
      <c r="A43" s="415">
        <v>33</v>
      </c>
      <c r="B43" s="94" t="str">
        <f>IF('1. Halbjahr'!B36&lt;&gt;"", '1. Halbjahr'!B36, "")</f>
        <v/>
      </c>
      <c r="C43" s="104" t="str">
        <f>IF(APRohpunkte!AG37="",'Eingabe Abitur'!Q75,APRohpunkte!AG37)</f>
        <v/>
      </c>
      <c r="D43" s="105" t="str">
        <f>IF(APRohpunkte!AI37="",'Eingabe Abitur'!Q76,APRohpunkte!AI37)</f>
        <v/>
      </c>
      <c r="E43" s="104" t="str">
        <f ca="1">AP!G38</f>
        <v/>
      </c>
      <c r="F43" s="403" t="str">
        <f ca="1">IF(D43="","",IF(AP!$E$42="BE",INDIRECT("AP!P"&amp;MATCH(100*ROUNDUP(D43, 0) / AP!$E$44,AP!$Q$4:$Q$20,-1)+4),D43))</f>
        <v/>
      </c>
      <c r="G43" s="416" t="str">
        <f t="shared" ca="1" si="0"/>
        <v/>
      </c>
    </row>
    <row r="44" spans="1:7" x14ac:dyDescent="0.2">
      <c r="A44" s="415">
        <v>34</v>
      </c>
      <c r="B44" s="94" t="str">
        <f>IF('1. Halbjahr'!B37&lt;&gt;"", '1. Halbjahr'!B37, "")</f>
        <v/>
      </c>
      <c r="C44" s="104" t="str">
        <f>IF(APRohpunkte!AG38="",'Eingabe Abitur'!Q77,APRohpunkte!AG38)</f>
        <v/>
      </c>
      <c r="D44" s="105" t="str">
        <f>IF(APRohpunkte!AI38="",'Eingabe Abitur'!Q78,APRohpunkte!AI38)</f>
        <v/>
      </c>
      <c r="E44" s="104" t="str">
        <f ca="1">AP!G39</f>
        <v/>
      </c>
      <c r="F44" s="403" t="str">
        <f ca="1">IF(D44="","",IF(AP!$E$42="BE",INDIRECT("AP!P"&amp;MATCH(100*ROUNDUP(D44, 0) / AP!$E$44,AP!$Q$4:$Q$20,-1)+4),D44))</f>
        <v/>
      </c>
      <c r="G44" s="416" t="str">
        <f t="shared" ca="1" si="0"/>
        <v/>
      </c>
    </row>
    <row r="45" spans="1:7" x14ac:dyDescent="0.2">
      <c r="A45" s="417">
        <v>35</v>
      </c>
      <c r="B45" s="418" t="str">
        <f>IF('1. Halbjahr'!B38&lt;&gt;"", '1. Halbjahr'!B38, "")</f>
        <v/>
      </c>
      <c r="C45" s="419" t="str">
        <f>IF(APRohpunkte!AG39="",'Eingabe Abitur'!Q79,APRohpunkte!AG39)</f>
        <v/>
      </c>
      <c r="D45" s="420" t="str">
        <f>IF(APRohpunkte!AI39="",'Eingabe Abitur'!Q80,APRohpunkte!AI39)</f>
        <v/>
      </c>
      <c r="E45" s="419" t="str">
        <f ca="1">AP!G40</f>
        <v/>
      </c>
      <c r="F45" s="421" t="str">
        <f ca="1">IF(D45="","",IF(AP!$E$42="BE",INDIRECT("AP!P"&amp;MATCH(100*ROUNDUP(D45, 0) / AP!$E$44,AP!$Q$4:$Q$20,-1)+4),D45))</f>
        <v/>
      </c>
      <c r="G45" s="422" t="str">
        <f t="shared" ca="1" si="0"/>
        <v/>
      </c>
    </row>
    <row r="46" spans="1:7" x14ac:dyDescent="0.2">
      <c r="C46" s="106"/>
    </row>
    <row r="47" spans="1:7" ht="25.5" x14ac:dyDescent="0.2">
      <c r="A47" s="502"/>
      <c r="B47" s="502"/>
      <c r="C47" s="107" t="s">
        <v>52</v>
      </c>
      <c r="D47" s="108" t="s">
        <v>51</v>
      </c>
      <c r="E47" s="107"/>
      <c r="F47" s="107" t="s">
        <v>52</v>
      </c>
      <c r="G47" s="108" t="s">
        <v>51</v>
      </c>
    </row>
    <row r="48" spans="1:7" x14ac:dyDescent="0.2">
      <c r="A48" s="503">
        <v>15</v>
      </c>
      <c r="B48" s="504"/>
      <c r="C48" s="109" t="str">
        <f>AP!E50 &amp;"-"&amp; AP!F50</f>
        <v>100-94,5</v>
      </c>
      <c r="D48" s="109">
        <f t="shared" ref="D48:D55" ca="1" si="1">COUNTIF($E$11:$E$45,A48)</f>
        <v>0</v>
      </c>
      <c r="E48" s="109">
        <v>7</v>
      </c>
      <c r="F48" s="109" t="str">
        <f>AP!E58 &amp;"-"&amp; AP!F58</f>
        <v>59-54,5</v>
      </c>
      <c r="G48" s="109">
        <f t="shared" ref="G48:G55" ca="1" si="2">COUNTIF($E$11:$E$45,E48)</f>
        <v>0</v>
      </c>
    </row>
    <row r="49" spans="1:7" x14ac:dyDescent="0.2">
      <c r="A49" s="503">
        <v>14</v>
      </c>
      <c r="B49" s="504"/>
      <c r="C49" s="109" t="str">
        <f>AP!E51 &amp;"-"&amp; AP!F51</f>
        <v>94-89,5</v>
      </c>
      <c r="D49" s="109">
        <f t="shared" ca="1" si="1"/>
        <v>0</v>
      </c>
      <c r="E49" s="109">
        <v>6</v>
      </c>
      <c r="F49" s="109" t="str">
        <f>AP!E59 &amp;"-"&amp; AP!F59</f>
        <v>54-49,5</v>
      </c>
      <c r="G49" s="109">
        <f t="shared" ca="1" si="2"/>
        <v>0</v>
      </c>
    </row>
    <row r="50" spans="1:7" x14ac:dyDescent="0.2">
      <c r="A50" s="503">
        <v>13</v>
      </c>
      <c r="B50" s="504"/>
      <c r="C50" s="109" t="str">
        <f>AP!E52 &amp;"-"&amp; AP!F52</f>
        <v>89-84,5</v>
      </c>
      <c r="D50" s="109">
        <f t="shared" ca="1" si="1"/>
        <v>0</v>
      </c>
      <c r="E50" s="109">
        <v>5</v>
      </c>
      <c r="F50" s="109" t="str">
        <f>AP!E60 &amp;"-"&amp; AP!F60</f>
        <v>49-44,5</v>
      </c>
      <c r="G50" s="109">
        <f t="shared" ca="1" si="2"/>
        <v>0</v>
      </c>
    </row>
    <row r="51" spans="1:7" x14ac:dyDescent="0.2">
      <c r="A51" s="503">
        <v>12</v>
      </c>
      <c r="B51" s="504"/>
      <c r="C51" s="109" t="str">
        <f>AP!E53 &amp;"-"&amp; AP!F53</f>
        <v>84-79,5</v>
      </c>
      <c r="D51" s="109">
        <f t="shared" ca="1" si="1"/>
        <v>0</v>
      </c>
      <c r="E51" s="109">
        <v>4</v>
      </c>
      <c r="F51" s="109" t="str">
        <f>AP!E61 &amp;"-"&amp; AP!F61</f>
        <v>44-39,5</v>
      </c>
      <c r="G51" s="109">
        <f t="shared" ca="1" si="2"/>
        <v>0</v>
      </c>
    </row>
    <row r="52" spans="1:7" x14ac:dyDescent="0.2">
      <c r="A52" s="503">
        <v>11</v>
      </c>
      <c r="B52" s="504"/>
      <c r="C52" s="109" t="str">
        <f>AP!E54 &amp;"-"&amp; AP!F54</f>
        <v>79-74,5</v>
      </c>
      <c r="D52" s="109">
        <f t="shared" ca="1" si="1"/>
        <v>0</v>
      </c>
      <c r="E52" s="109">
        <v>3</v>
      </c>
      <c r="F52" s="109" t="str">
        <f>AP!E62 &amp;"-"&amp; AP!F62</f>
        <v>39-32,5</v>
      </c>
      <c r="G52" s="109">
        <f t="shared" ca="1" si="2"/>
        <v>0</v>
      </c>
    </row>
    <row r="53" spans="1:7" x14ac:dyDescent="0.2">
      <c r="A53" s="503">
        <v>10</v>
      </c>
      <c r="B53" s="504"/>
      <c r="C53" s="109" t="str">
        <f>AP!E55 &amp;"-"&amp; AP!F55</f>
        <v>74-69,5</v>
      </c>
      <c r="D53" s="109">
        <f t="shared" ca="1" si="1"/>
        <v>0</v>
      </c>
      <c r="E53" s="109">
        <v>2</v>
      </c>
      <c r="F53" s="109" t="str">
        <f>AP!E63 &amp;"-"&amp; AP!F63</f>
        <v>32-26,5</v>
      </c>
      <c r="G53" s="109">
        <f t="shared" ca="1" si="2"/>
        <v>0</v>
      </c>
    </row>
    <row r="54" spans="1:7" x14ac:dyDescent="0.2">
      <c r="A54" s="503">
        <v>9</v>
      </c>
      <c r="B54" s="504"/>
      <c r="C54" s="109" t="str">
        <f>AP!E56 &amp;"-"&amp; AP!F56</f>
        <v>69-64,5</v>
      </c>
      <c r="D54" s="109">
        <f t="shared" ca="1" si="1"/>
        <v>0</v>
      </c>
      <c r="E54" s="109">
        <v>1</v>
      </c>
      <c r="F54" s="109" t="str">
        <f>AP!E64 &amp;"-"&amp; AP!F64</f>
        <v>26-20</v>
      </c>
      <c r="G54" s="109">
        <f t="shared" ca="1" si="2"/>
        <v>0</v>
      </c>
    </row>
    <row r="55" spans="1:7" x14ac:dyDescent="0.2">
      <c r="A55" s="503">
        <v>8</v>
      </c>
      <c r="B55" s="504"/>
      <c r="C55" s="109" t="str">
        <f>AP!E57 &amp;"-"&amp; AP!F57</f>
        <v>64-59,5</v>
      </c>
      <c r="D55" s="109">
        <f t="shared" ca="1" si="1"/>
        <v>0</v>
      </c>
      <c r="E55" s="109">
        <v>0</v>
      </c>
      <c r="F55" s="109" t="str">
        <f>AP!E65 &amp;"-"&amp; AP!F65</f>
        <v>19-0</v>
      </c>
      <c r="G55" s="109">
        <f t="shared" ca="1" si="2"/>
        <v>0</v>
      </c>
    </row>
    <row r="56" spans="1:7" x14ac:dyDescent="0.2">
      <c r="A56" s="86"/>
      <c r="G56" s="89"/>
    </row>
    <row r="57" spans="1:7" x14ac:dyDescent="0.2">
      <c r="A57" s="516" t="s">
        <v>50</v>
      </c>
      <c r="B57" s="517"/>
      <c r="C57" s="517"/>
      <c r="D57" s="517"/>
      <c r="E57" s="517"/>
      <c r="F57" s="517"/>
      <c r="G57" s="518"/>
    </row>
    <row r="58" spans="1:7" x14ac:dyDescent="0.2">
      <c r="A58" s="507" t="e">
        <f ca="1">AVERAGE(E11:E45)</f>
        <v>#DIV/0!</v>
      </c>
      <c r="B58" s="508"/>
      <c r="C58" s="508"/>
      <c r="D58" s="508"/>
      <c r="E58" s="508"/>
      <c r="F58" s="508"/>
      <c r="G58" s="509"/>
    </row>
    <row r="60" spans="1:7" ht="26.25" customHeight="1" x14ac:dyDescent="0.2">
      <c r="A60" s="513" t="s">
        <v>120</v>
      </c>
      <c r="B60" s="514"/>
      <c r="C60" s="514"/>
      <c r="D60" s="514"/>
      <c r="E60" s="514"/>
      <c r="F60" s="514"/>
      <c r="G60" s="515"/>
    </row>
    <row r="65" spans="1:7" x14ac:dyDescent="0.2">
      <c r="A65" s="88"/>
      <c r="B65" s="512"/>
      <c r="C65" s="512"/>
      <c r="F65" s="511"/>
      <c r="G65" s="511"/>
    </row>
    <row r="66" spans="1:7" x14ac:dyDescent="0.2">
      <c r="B66" s="510" t="s">
        <v>49</v>
      </c>
      <c r="C66" s="510"/>
      <c r="E66" s="87"/>
      <c r="F66" s="510" t="s">
        <v>48</v>
      </c>
      <c r="G66" s="510"/>
    </row>
  </sheetData>
  <sheetProtection algorithmName="SHA-512" hashValue="wyO6Ez8zhREBMTjktXqbZDsYLF0kp82Zmmqs6at3xZ3VIbPGyjFYc5DwSrjn8KCcXgCrhQhJgbgCd/X3W3qxYQ==" saltValue="RIStUfpXqtccIQ7SE0qNhg==" spinCount="100000" sheet="1" objects="1" scenarios="1" selectLockedCells="1"/>
  <mergeCells count="19">
    <mergeCell ref="A54:B54"/>
    <mergeCell ref="A55:B55"/>
    <mergeCell ref="A58:G58"/>
    <mergeCell ref="F66:G66"/>
    <mergeCell ref="F65:G65"/>
    <mergeCell ref="B66:C66"/>
    <mergeCell ref="B65:C65"/>
    <mergeCell ref="A60:G60"/>
    <mergeCell ref="A57:G57"/>
    <mergeCell ref="A7:G7"/>
    <mergeCell ref="C9:D9"/>
    <mergeCell ref="A47:B47"/>
    <mergeCell ref="A48:B48"/>
    <mergeCell ref="A53:B53"/>
    <mergeCell ref="A49:B49"/>
    <mergeCell ref="A50:B50"/>
    <mergeCell ref="A51:B51"/>
    <mergeCell ref="A52:B52"/>
    <mergeCell ref="E9:F9"/>
  </mergeCells>
  <printOptions horizontalCentered="1"/>
  <pageMargins left="0.27559055118110237" right="0.35433070866141736" top="0.39" bottom="0.52" header="0.19" footer="0.45"/>
  <pageSetup paperSize="9" scale="87" orientation="portrait" horizontalDpi="4294967293" r:id="rId1"/>
  <headerFooter alignWithMargins="0"/>
  <colBreaks count="1" manualBreakCount="1">
    <brk id="7" max="60" man="1"/>
  </colBreaks>
  <extLst>
    <ext xmlns:x14="http://schemas.microsoft.com/office/spreadsheetml/2009/9/main" uri="{78C0D931-6437-407d-A8EE-F0AAD7539E65}">
      <x14:conditionalFormattings>
        <x14:conditionalFormatting xmlns:xm="http://schemas.microsoft.com/office/excel/2006/main">
          <x14:cfRule type="expression" priority="1" id="{2310919D-412C-420E-81FF-A41C02667D1B}">
            <xm:f>AP!$E$42&lt;&gt;"BE"</xm:f>
            <x14:dxf>
              <fill>
                <patternFill patternType="lightTrellis"/>
              </fill>
            </x14:dxf>
          </x14:cfRule>
          <xm:sqref>C11:D45</xm:sqref>
        </x14:conditionalFormatting>
        <x14:conditionalFormatting xmlns:xm="http://schemas.microsoft.com/office/excel/2006/main">
          <x14:cfRule type="expression" priority="2" id="{F5D4A712-B322-4C5E-B56C-81C701B5A11C}">
            <xm:f>AP!$E$42&lt;&gt;"BE"</xm:f>
            <x14:dxf>
              <fill>
                <patternFill>
                  <fgColor rgb="FFCCFFFF"/>
                  <bgColor rgb="FFCCFFFF"/>
                </patternFill>
              </fill>
            </x14:dxf>
          </x14:cfRule>
          <xm:sqref>F11:F45</xm:sqref>
        </x14:conditionalFormatting>
      </x14:conditionalFormattings>
    </ext>
    <ext xmlns:x14="http://schemas.microsoft.com/office/spreadsheetml/2009/9/main" uri="{CCE6A557-97BC-4b89-ADB6-D9C93CAAB3DF}">
      <x14:dataValidations xmlns:xm="http://schemas.microsoft.com/office/excel/2006/main" count="1">
        <x14:dataValidation type="custom" allowBlank="1" showErrorMessage="1" errorTitle="Eingabe momentan nicht erlaubt" error="Die Eingabe in diese Zelle ist nur erlaubt, wenn die Abschlussprüfung über Punkte anstatt Bewertungseinheiten eingegeben wird" xr:uid="{00000000-0002-0000-1200-000000000000}">
          <x14:formula1>
            <xm:f>AP!$E$42&lt;&gt;"BE"</xm:f>
          </x14:formula1>
          <xm:sqref>F11:F45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18">
    <tabColor rgb="FFAB5555"/>
  </sheetPr>
  <dimension ref="A1:G60"/>
  <sheetViews>
    <sheetView zoomScaleNormal="100" workbookViewId="0"/>
  </sheetViews>
  <sheetFormatPr baseColWidth="10" defaultRowHeight="12.75" x14ac:dyDescent="0.2"/>
  <cols>
    <col min="1" max="1" width="4.7109375" style="214" customWidth="1"/>
    <col min="2" max="2" width="30.5703125" style="214" customWidth="1"/>
    <col min="3" max="3" width="22.140625" style="214" customWidth="1"/>
    <col min="4" max="4" width="7.7109375" style="214" customWidth="1"/>
    <col min="5" max="5" width="10.7109375" style="214" customWidth="1"/>
    <col min="6" max="6" width="7.7109375" style="214" customWidth="1"/>
    <col min="7" max="7" width="10.7109375" style="214" customWidth="1"/>
    <col min="8" max="16384" width="11.42578125" style="214"/>
  </cols>
  <sheetData>
    <row r="1" spans="1:7" ht="18" x14ac:dyDescent="0.25">
      <c r="A1" s="423" t="s">
        <v>56</v>
      </c>
      <c r="B1" s="424"/>
      <c r="C1" s="424"/>
      <c r="D1" s="424" t="str">
        <f>AP!B1</f>
        <v>Abschlussprüfung 2023</v>
      </c>
      <c r="E1" s="425"/>
      <c r="F1" s="424"/>
      <c r="G1" s="426"/>
    </row>
    <row r="2" spans="1:7" x14ac:dyDescent="0.2">
      <c r="A2" s="427"/>
      <c r="B2" s="79"/>
      <c r="C2" s="79"/>
      <c r="D2" s="79"/>
      <c r="E2" s="79"/>
      <c r="F2" s="79"/>
      <c r="G2" s="428"/>
    </row>
    <row r="3" spans="1:7" x14ac:dyDescent="0.2">
      <c r="A3" s="427" t="str">
        <f>AP!B2</f>
        <v xml:space="preserve">Fach: </v>
      </c>
      <c r="B3" s="79"/>
      <c r="C3" s="79"/>
      <c r="D3" s="79"/>
      <c r="E3" s="79"/>
      <c r="F3" s="79"/>
      <c r="G3" s="428"/>
    </row>
    <row r="4" spans="1:7" ht="13.5" thickBot="1" x14ac:dyDescent="0.25">
      <c r="A4" s="429" t="str">
        <f>AP!B3</f>
        <v xml:space="preserve">Klasse: </v>
      </c>
      <c r="B4" s="430"/>
      <c r="C4" s="431"/>
      <c r="D4" s="430"/>
      <c r="E4" s="431" t="str">
        <f>AP!E3</f>
        <v xml:space="preserve">Lehrer/in: </v>
      </c>
      <c r="F4" s="430"/>
      <c r="G4" s="432"/>
    </row>
    <row r="6" spans="1:7" ht="15.75" x14ac:dyDescent="0.25">
      <c r="A6" s="520" t="s">
        <v>109</v>
      </c>
      <c r="B6" s="521"/>
      <c r="C6" s="521"/>
      <c r="D6" s="521"/>
      <c r="E6" s="521"/>
      <c r="F6" s="521"/>
      <c r="G6" s="522"/>
    </row>
    <row r="7" spans="1:7" x14ac:dyDescent="0.2">
      <c r="A7" s="298"/>
      <c r="G7" s="295"/>
    </row>
    <row r="8" spans="1:7" ht="25.5" customHeight="1" x14ac:dyDescent="0.2">
      <c r="A8" s="406"/>
      <c r="B8" s="407" t="s">
        <v>54</v>
      </c>
      <c r="C8" s="408" t="s">
        <v>53</v>
      </c>
      <c r="G8" s="295"/>
    </row>
    <row r="9" spans="1:7" x14ac:dyDescent="0.2">
      <c r="A9" s="406">
        <v>1</v>
      </c>
      <c r="B9" s="299" t="str">
        <f>IF('1. Halbjahr'!B4="","",'1. Halbjahr'!B4)</f>
        <v/>
      </c>
      <c r="C9" s="305" t="str">
        <f>'Eingabe Abitur'!X11</f>
        <v/>
      </c>
      <c r="G9" s="295"/>
    </row>
    <row r="10" spans="1:7" x14ac:dyDescent="0.2">
      <c r="A10" s="406">
        <v>2</v>
      </c>
      <c r="B10" s="299" t="str">
        <f>IF('1. Halbjahr'!B5="","",'1. Halbjahr'!B5)</f>
        <v/>
      </c>
      <c r="C10" s="305" t="str">
        <f>'Eingabe Abitur'!X13</f>
        <v/>
      </c>
      <c r="G10" s="295"/>
    </row>
    <row r="11" spans="1:7" x14ac:dyDescent="0.2">
      <c r="A11" s="406">
        <v>3</v>
      </c>
      <c r="B11" s="299" t="str">
        <f>IF('1. Halbjahr'!B6="","",'1. Halbjahr'!B6)</f>
        <v/>
      </c>
      <c r="C11" s="305" t="str">
        <f>'Eingabe Abitur'!X15</f>
        <v/>
      </c>
      <c r="G11" s="295"/>
    </row>
    <row r="12" spans="1:7" x14ac:dyDescent="0.2">
      <c r="A12" s="406">
        <v>4</v>
      </c>
      <c r="B12" s="299" t="str">
        <f>IF('1. Halbjahr'!B7="","",'1. Halbjahr'!B7)</f>
        <v/>
      </c>
      <c r="C12" s="305" t="str">
        <f>'Eingabe Abitur'!X17</f>
        <v/>
      </c>
      <c r="G12" s="295"/>
    </row>
    <row r="13" spans="1:7" x14ac:dyDescent="0.2">
      <c r="A13" s="406">
        <v>5</v>
      </c>
      <c r="B13" s="299" t="str">
        <f>IF('1. Halbjahr'!B8="","",'1. Halbjahr'!B8)</f>
        <v/>
      </c>
      <c r="C13" s="305" t="str">
        <f>'Eingabe Abitur'!X19</f>
        <v/>
      </c>
      <c r="G13" s="295"/>
    </row>
    <row r="14" spans="1:7" x14ac:dyDescent="0.2">
      <c r="A14" s="406">
        <v>6</v>
      </c>
      <c r="B14" s="299" t="str">
        <f>IF('1. Halbjahr'!B9="","",'1. Halbjahr'!B9)</f>
        <v/>
      </c>
      <c r="C14" s="305" t="str">
        <f>'Eingabe Abitur'!X21</f>
        <v/>
      </c>
      <c r="G14" s="295"/>
    </row>
    <row r="15" spans="1:7" x14ac:dyDescent="0.2">
      <c r="A15" s="406">
        <v>7</v>
      </c>
      <c r="B15" s="299" t="str">
        <f>IF('1. Halbjahr'!B10="","",'1. Halbjahr'!B10)</f>
        <v/>
      </c>
      <c r="C15" s="305" t="str">
        <f>'Eingabe Abitur'!X23</f>
        <v/>
      </c>
      <c r="G15" s="295"/>
    </row>
    <row r="16" spans="1:7" x14ac:dyDescent="0.2">
      <c r="A16" s="406">
        <v>8</v>
      </c>
      <c r="B16" s="299" t="str">
        <f>IF('1. Halbjahr'!B11="","",'1. Halbjahr'!B11)</f>
        <v/>
      </c>
      <c r="C16" s="305" t="str">
        <f>'Eingabe Abitur'!X25</f>
        <v/>
      </c>
      <c r="G16" s="295"/>
    </row>
    <row r="17" spans="1:7" x14ac:dyDescent="0.2">
      <c r="A17" s="406">
        <v>9</v>
      </c>
      <c r="B17" s="299" t="str">
        <f>IF('1. Halbjahr'!B12="","",'1. Halbjahr'!B12)</f>
        <v/>
      </c>
      <c r="C17" s="305" t="str">
        <f>'Eingabe Abitur'!X27</f>
        <v/>
      </c>
      <c r="G17" s="295"/>
    </row>
    <row r="18" spans="1:7" x14ac:dyDescent="0.2">
      <c r="A18" s="406">
        <v>10</v>
      </c>
      <c r="B18" s="299" t="str">
        <f>IF('1. Halbjahr'!B13="","",'1. Halbjahr'!B13)</f>
        <v/>
      </c>
      <c r="C18" s="305" t="str">
        <f>'Eingabe Abitur'!X29</f>
        <v/>
      </c>
      <c r="G18" s="295"/>
    </row>
    <row r="19" spans="1:7" x14ac:dyDescent="0.2">
      <c r="A19" s="406">
        <v>11</v>
      </c>
      <c r="B19" s="299" t="str">
        <f>IF('1. Halbjahr'!B14="","",'1. Halbjahr'!B14)</f>
        <v/>
      </c>
      <c r="C19" s="305" t="str">
        <f>'Eingabe Abitur'!X31</f>
        <v/>
      </c>
      <c r="G19" s="295"/>
    </row>
    <row r="20" spans="1:7" x14ac:dyDescent="0.2">
      <c r="A20" s="406">
        <v>12</v>
      </c>
      <c r="B20" s="299" t="str">
        <f>IF('1. Halbjahr'!B15="","",'1. Halbjahr'!B15)</f>
        <v/>
      </c>
      <c r="C20" s="305" t="str">
        <f>'Eingabe Abitur'!X33</f>
        <v/>
      </c>
      <c r="G20" s="295"/>
    </row>
    <row r="21" spans="1:7" x14ac:dyDescent="0.2">
      <c r="A21" s="406">
        <v>13</v>
      </c>
      <c r="B21" s="299" t="str">
        <f>IF('1. Halbjahr'!B16="","",'1. Halbjahr'!B16)</f>
        <v/>
      </c>
      <c r="C21" s="305" t="str">
        <f>'Eingabe Abitur'!X35</f>
        <v/>
      </c>
      <c r="G21" s="295"/>
    </row>
    <row r="22" spans="1:7" x14ac:dyDescent="0.2">
      <c r="A22" s="406">
        <v>14</v>
      </c>
      <c r="B22" s="299" t="str">
        <f>IF('1. Halbjahr'!B17="","",'1. Halbjahr'!B17)</f>
        <v/>
      </c>
      <c r="C22" s="305" t="str">
        <f>'Eingabe Abitur'!X37</f>
        <v/>
      </c>
      <c r="G22" s="295"/>
    </row>
    <row r="23" spans="1:7" x14ac:dyDescent="0.2">
      <c r="A23" s="406">
        <v>15</v>
      </c>
      <c r="B23" s="299" t="str">
        <f>IF('1. Halbjahr'!B18="","",'1. Halbjahr'!B18)</f>
        <v/>
      </c>
      <c r="C23" s="305" t="str">
        <f>'Eingabe Abitur'!X39</f>
        <v/>
      </c>
      <c r="G23" s="295"/>
    </row>
    <row r="24" spans="1:7" x14ac:dyDescent="0.2">
      <c r="A24" s="406">
        <v>16</v>
      </c>
      <c r="B24" s="299" t="str">
        <f>IF('1. Halbjahr'!B19="","",'1. Halbjahr'!B19)</f>
        <v/>
      </c>
      <c r="C24" s="305" t="str">
        <f>'Eingabe Abitur'!X41</f>
        <v/>
      </c>
      <c r="G24" s="295"/>
    </row>
    <row r="25" spans="1:7" x14ac:dyDescent="0.2">
      <c r="A25" s="406">
        <v>17</v>
      </c>
      <c r="B25" s="299" t="str">
        <f>IF('1. Halbjahr'!B20="","",'1. Halbjahr'!B20)</f>
        <v/>
      </c>
      <c r="C25" s="305" t="str">
        <f>'Eingabe Abitur'!X43</f>
        <v/>
      </c>
      <c r="G25" s="295"/>
    </row>
    <row r="26" spans="1:7" x14ac:dyDescent="0.2">
      <c r="A26" s="406">
        <v>18</v>
      </c>
      <c r="B26" s="299" t="str">
        <f>IF('1. Halbjahr'!B21="","",'1. Halbjahr'!B21)</f>
        <v/>
      </c>
      <c r="C26" s="305" t="str">
        <f>'Eingabe Abitur'!X45</f>
        <v/>
      </c>
      <c r="G26" s="295"/>
    </row>
    <row r="27" spans="1:7" x14ac:dyDescent="0.2">
      <c r="A27" s="406">
        <v>19</v>
      </c>
      <c r="B27" s="299" t="str">
        <f>IF('1. Halbjahr'!B22="","",'1. Halbjahr'!B22)</f>
        <v/>
      </c>
      <c r="C27" s="305" t="str">
        <f>'Eingabe Abitur'!X47</f>
        <v/>
      </c>
      <c r="G27" s="295"/>
    </row>
    <row r="28" spans="1:7" x14ac:dyDescent="0.2">
      <c r="A28" s="406">
        <v>20</v>
      </c>
      <c r="B28" s="299" t="str">
        <f>IF('1. Halbjahr'!B23="","",'1. Halbjahr'!B23)</f>
        <v/>
      </c>
      <c r="C28" s="305" t="str">
        <f>'Eingabe Abitur'!X49</f>
        <v/>
      </c>
      <c r="G28" s="295"/>
    </row>
    <row r="29" spans="1:7" x14ac:dyDescent="0.2">
      <c r="A29" s="406">
        <v>21</v>
      </c>
      <c r="B29" s="299" t="str">
        <f>IF('1. Halbjahr'!B24="","",'1. Halbjahr'!B24)</f>
        <v/>
      </c>
      <c r="C29" s="305" t="str">
        <f>'Eingabe Abitur'!X51</f>
        <v/>
      </c>
      <c r="G29" s="295"/>
    </row>
    <row r="30" spans="1:7" x14ac:dyDescent="0.2">
      <c r="A30" s="406">
        <v>22</v>
      </c>
      <c r="B30" s="299" t="str">
        <f>IF('1. Halbjahr'!B25="","",'1. Halbjahr'!B25)</f>
        <v/>
      </c>
      <c r="C30" s="305" t="str">
        <f>'Eingabe Abitur'!X53</f>
        <v/>
      </c>
      <c r="G30" s="295"/>
    </row>
    <row r="31" spans="1:7" x14ac:dyDescent="0.2">
      <c r="A31" s="406">
        <v>23</v>
      </c>
      <c r="B31" s="299" t="str">
        <f>IF('1. Halbjahr'!B26="","",'1. Halbjahr'!B26)</f>
        <v/>
      </c>
      <c r="C31" s="305" t="str">
        <f>'Eingabe Abitur'!X55</f>
        <v/>
      </c>
      <c r="G31" s="295"/>
    </row>
    <row r="32" spans="1:7" x14ac:dyDescent="0.2">
      <c r="A32" s="406">
        <v>24</v>
      </c>
      <c r="B32" s="299" t="str">
        <f>IF('1. Halbjahr'!B27="","",'1. Halbjahr'!B27)</f>
        <v/>
      </c>
      <c r="C32" s="305" t="str">
        <f>'Eingabe Abitur'!X57</f>
        <v/>
      </c>
      <c r="G32" s="295"/>
    </row>
    <row r="33" spans="1:7" x14ac:dyDescent="0.2">
      <c r="A33" s="406">
        <v>25</v>
      </c>
      <c r="B33" s="299" t="str">
        <f>IF('1. Halbjahr'!B28="","",'1. Halbjahr'!B28)</f>
        <v/>
      </c>
      <c r="C33" s="305" t="str">
        <f>'Eingabe Abitur'!X59</f>
        <v/>
      </c>
      <c r="G33" s="295"/>
    </row>
    <row r="34" spans="1:7" x14ac:dyDescent="0.2">
      <c r="A34" s="406">
        <v>26</v>
      </c>
      <c r="B34" s="299" t="str">
        <f>IF('1. Halbjahr'!B29="","",'1. Halbjahr'!B29)</f>
        <v/>
      </c>
      <c r="C34" s="305" t="str">
        <f>'Eingabe Abitur'!X61</f>
        <v/>
      </c>
      <c r="G34" s="295"/>
    </row>
    <row r="35" spans="1:7" x14ac:dyDescent="0.2">
      <c r="A35" s="406">
        <v>27</v>
      </c>
      <c r="B35" s="299" t="str">
        <f>IF('1. Halbjahr'!B30="","",'1. Halbjahr'!B30)</f>
        <v/>
      </c>
      <c r="C35" s="305" t="str">
        <f>'Eingabe Abitur'!X63</f>
        <v/>
      </c>
      <c r="G35" s="295"/>
    </row>
    <row r="36" spans="1:7" x14ac:dyDescent="0.2">
      <c r="A36" s="406">
        <v>28</v>
      </c>
      <c r="B36" s="299" t="str">
        <f>IF('1. Halbjahr'!B31="","",'1. Halbjahr'!B31)</f>
        <v/>
      </c>
      <c r="C36" s="305" t="str">
        <f>'Eingabe Abitur'!X65</f>
        <v/>
      </c>
      <c r="G36" s="295"/>
    </row>
    <row r="37" spans="1:7" x14ac:dyDescent="0.2">
      <c r="A37" s="406">
        <v>29</v>
      </c>
      <c r="B37" s="299" t="str">
        <f>IF('1. Halbjahr'!B32="","",'1. Halbjahr'!B32)</f>
        <v/>
      </c>
      <c r="C37" s="305" t="str">
        <f>'Eingabe Abitur'!X67</f>
        <v/>
      </c>
      <c r="G37" s="295"/>
    </row>
    <row r="38" spans="1:7" x14ac:dyDescent="0.2">
      <c r="A38" s="406">
        <v>30</v>
      </c>
      <c r="B38" s="299" t="str">
        <f>IF('1. Halbjahr'!B33="","",'1. Halbjahr'!B33)</f>
        <v/>
      </c>
      <c r="C38" s="305" t="str">
        <f>'Eingabe Abitur'!X69</f>
        <v/>
      </c>
      <c r="G38" s="295"/>
    </row>
    <row r="39" spans="1:7" x14ac:dyDescent="0.2">
      <c r="A39" s="406">
        <v>31</v>
      </c>
      <c r="B39" s="299" t="str">
        <f>IF('1. Halbjahr'!B34="","",'1. Halbjahr'!B34)</f>
        <v/>
      </c>
      <c r="C39" s="305" t="str">
        <f>'Eingabe Abitur'!X71</f>
        <v/>
      </c>
      <c r="G39" s="295"/>
    </row>
    <row r="40" spans="1:7" x14ac:dyDescent="0.2">
      <c r="A40" s="406">
        <v>32</v>
      </c>
      <c r="B40" s="299" t="str">
        <f>IF('1. Halbjahr'!B35="","",'1. Halbjahr'!B35)</f>
        <v/>
      </c>
      <c r="C40" s="305" t="str">
        <f>'Eingabe Abitur'!X73</f>
        <v/>
      </c>
      <c r="G40" s="295"/>
    </row>
    <row r="41" spans="1:7" x14ac:dyDescent="0.2">
      <c r="A41" s="406">
        <v>33</v>
      </c>
      <c r="B41" s="299" t="str">
        <f>IF('1. Halbjahr'!B36="","",'1. Halbjahr'!B36)</f>
        <v/>
      </c>
      <c r="C41" s="305" t="str">
        <f>'Eingabe Abitur'!X75</f>
        <v/>
      </c>
      <c r="G41" s="295"/>
    </row>
    <row r="42" spans="1:7" x14ac:dyDescent="0.2">
      <c r="A42" s="406">
        <v>34</v>
      </c>
      <c r="B42" s="299" t="str">
        <f>IF('1. Halbjahr'!B37="","",'1. Halbjahr'!B37)</f>
        <v/>
      </c>
      <c r="C42" s="305" t="str">
        <f>'Eingabe Abitur'!X77</f>
        <v/>
      </c>
      <c r="G42" s="295"/>
    </row>
    <row r="43" spans="1:7" x14ac:dyDescent="0.2">
      <c r="A43" s="406">
        <v>35</v>
      </c>
      <c r="B43" s="299" t="str">
        <f>IF('1. Halbjahr'!B38="","",'1. Halbjahr'!B38)</f>
        <v/>
      </c>
      <c r="C43" s="305" t="str">
        <f>'Eingabe Abitur'!X79</f>
        <v/>
      </c>
      <c r="G43" s="295"/>
    </row>
    <row r="44" spans="1:7" x14ac:dyDescent="0.2">
      <c r="A44" s="300"/>
      <c r="B44" s="294"/>
      <c r="C44" s="294"/>
      <c r="G44" s="297"/>
    </row>
    <row r="45" spans="1:7" ht="25.5" x14ac:dyDescent="0.2">
      <c r="A45" s="298"/>
      <c r="D45" s="301"/>
      <c r="E45" s="302" t="s">
        <v>51</v>
      </c>
      <c r="F45" s="303"/>
      <c r="G45" s="304" t="s">
        <v>51</v>
      </c>
    </row>
    <row r="46" spans="1:7" x14ac:dyDescent="0.2">
      <c r="A46" s="298"/>
      <c r="D46" s="305">
        <v>15</v>
      </c>
      <c r="E46" s="305">
        <f t="shared" ref="E46:E53" si="0">COUNTIF($C$9:$C$43,D46)</f>
        <v>0</v>
      </c>
      <c r="F46" s="305">
        <v>7</v>
      </c>
      <c r="G46" s="305">
        <f t="shared" ref="G46:G53" si="1">COUNTIF($C$9:$C$43,F46)</f>
        <v>0</v>
      </c>
    </row>
    <row r="47" spans="1:7" x14ac:dyDescent="0.2">
      <c r="A47" s="298"/>
      <c r="D47" s="305">
        <v>14</v>
      </c>
      <c r="E47" s="305">
        <f t="shared" si="0"/>
        <v>0</v>
      </c>
      <c r="F47" s="305">
        <v>6</v>
      </c>
      <c r="G47" s="305">
        <f t="shared" si="1"/>
        <v>0</v>
      </c>
    </row>
    <row r="48" spans="1:7" x14ac:dyDescent="0.2">
      <c r="A48" s="298"/>
      <c r="D48" s="305">
        <v>13</v>
      </c>
      <c r="E48" s="305">
        <f t="shared" si="0"/>
        <v>0</v>
      </c>
      <c r="F48" s="305">
        <v>5</v>
      </c>
      <c r="G48" s="305">
        <f t="shared" si="1"/>
        <v>0</v>
      </c>
    </row>
    <row r="49" spans="1:7" x14ac:dyDescent="0.2">
      <c r="A49" s="298"/>
      <c r="D49" s="305">
        <v>12</v>
      </c>
      <c r="E49" s="305">
        <f t="shared" si="0"/>
        <v>0</v>
      </c>
      <c r="F49" s="305">
        <v>4</v>
      </c>
      <c r="G49" s="305">
        <f t="shared" si="1"/>
        <v>0</v>
      </c>
    </row>
    <row r="50" spans="1:7" x14ac:dyDescent="0.2">
      <c r="A50" s="298"/>
      <c r="D50" s="305">
        <v>11</v>
      </c>
      <c r="E50" s="305">
        <f t="shared" si="0"/>
        <v>0</v>
      </c>
      <c r="F50" s="305">
        <v>3</v>
      </c>
      <c r="G50" s="305">
        <f t="shared" si="1"/>
        <v>0</v>
      </c>
    </row>
    <row r="51" spans="1:7" x14ac:dyDescent="0.2">
      <c r="A51" s="298"/>
      <c r="D51" s="305">
        <v>10</v>
      </c>
      <c r="E51" s="305">
        <f t="shared" si="0"/>
        <v>0</v>
      </c>
      <c r="F51" s="305">
        <v>2</v>
      </c>
      <c r="G51" s="305">
        <f t="shared" si="1"/>
        <v>0</v>
      </c>
    </row>
    <row r="52" spans="1:7" x14ac:dyDescent="0.2">
      <c r="A52" s="298"/>
      <c r="D52" s="305">
        <v>9</v>
      </c>
      <c r="E52" s="305">
        <f t="shared" si="0"/>
        <v>0</v>
      </c>
      <c r="F52" s="305">
        <v>1</v>
      </c>
      <c r="G52" s="305">
        <f t="shared" si="1"/>
        <v>0</v>
      </c>
    </row>
    <row r="53" spans="1:7" x14ac:dyDescent="0.2">
      <c r="A53" s="298"/>
      <c r="D53" s="305">
        <v>8</v>
      </c>
      <c r="E53" s="305">
        <f t="shared" si="0"/>
        <v>0</v>
      </c>
      <c r="F53" s="305">
        <v>0</v>
      </c>
      <c r="G53" s="305">
        <f t="shared" si="1"/>
        <v>0</v>
      </c>
    </row>
    <row r="54" spans="1:7" x14ac:dyDescent="0.2">
      <c r="A54" s="298"/>
      <c r="D54" s="296"/>
      <c r="G54" s="297"/>
    </row>
    <row r="55" spans="1:7" x14ac:dyDescent="0.2">
      <c r="A55" s="298"/>
      <c r="D55" s="523" t="s">
        <v>50</v>
      </c>
      <c r="E55" s="524"/>
      <c r="F55" s="524"/>
      <c r="G55" s="525"/>
    </row>
    <row r="56" spans="1:7" x14ac:dyDescent="0.2">
      <c r="A56" s="306"/>
      <c r="B56" s="296"/>
      <c r="C56" s="296"/>
      <c r="D56" s="526" t="str">
        <f>IF(SUM(C9:C43)=0,"",AVERAGE(C9:C43))</f>
        <v/>
      </c>
      <c r="E56" s="527"/>
      <c r="F56" s="527"/>
      <c r="G56" s="528"/>
    </row>
    <row r="57" spans="1:7" ht="25.5" customHeight="1" x14ac:dyDescent="0.2">
      <c r="A57" s="529" t="s">
        <v>122</v>
      </c>
      <c r="B57" s="530"/>
      <c r="C57" s="530"/>
      <c r="D57" s="530"/>
      <c r="E57" s="530"/>
      <c r="F57" s="530"/>
      <c r="G57" s="531"/>
    </row>
    <row r="59" spans="1:7" x14ac:dyDescent="0.2">
      <c r="A59" s="532"/>
      <c r="B59" s="532"/>
      <c r="F59" s="307"/>
      <c r="G59" s="307"/>
    </row>
    <row r="60" spans="1:7" x14ac:dyDescent="0.2">
      <c r="A60" s="519" t="s">
        <v>49</v>
      </c>
      <c r="B60" s="519"/>
      <c r="D60" s="519" t="s">
        <v>48</v>
      </c>
      <c r="E60" s="519"/>
      <c r="F60" s="519"/>
      <c r="G60" s="519"/>
    </row>
  </sheetData>
  <sheetProtection algorithmName="SHA-512" hashValue="jQz01aDgUSQc8WMfZ+A6bgUatsN4pnAu4wB0d2+LRy6eXvksY1WlEpMsaC0+BPUVOfzE9BDeQx8gfKrHOotMhA==" saltValue="Z1Xza/YVhTD5ROkkDuiobQ==" spinCount="100000" sheet="1" objects="1" scenarios="1" selectLockedCells="1"/>
  <mergeCells count="7">
    <mergeCell ref="D60:G60"/>
    <mergeCell ref="A6:G6"/>
    <mergeCell ref="D55:G55"/>
    <mergeCell ref="D56:G56"/>
    <mergeCell ref="A57:G57"/>
    <mergeCell ref="A59:B59"/>
    <mergeCell ref="A60:B60"/>
  </mergeCells>
  <printOptions horizontalCentered="1"/>
  <pageMargins left="0.27559055118110237" right="0.35433070866141736" top="0.39" bottom="0.52" header="0.19" footer="0.45"/>
  <pageSetup paperSize="9" scale="97" orientation="portrait" horizontalDpi="4294967293" r:id="rId1"/>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0">
    <tabColor rgb="FFAB5555"/>
    <pageSetUpPr fitToPage="1"/>
  </sheetPr>
  <dimension ref="A1:AB83"/>
  <sheetViews>
    <sheetView zoomScale="80" zoomScaleNormal="80" workbookViewId="0">
      <pane xSplit="2" ySplit="10" topLeftCell="C11" activePane="bottomRight" state="frozen"/>
      <selection pane="topRight"/>
      <selection pane="bottomLeft"/>
      <selection pane="bottomRight" activeCell="C11" sqref="C11"/>
    </sheetView>
  </sheetViews>
  <sheetFormatPr baseColWidth="10" defaultColWidth="11.5703125" defaultRowHeight="12.75" x14ac:dyDescent="0.2"/>
  <cols>
    <col min="1" max="1" width="3.85546875" style="214" bestFit="1" customWidth="1"/>
    <col min="2" max="2" width="41" style="214" bestFit="1" customWidth="1"/>
    <col min="3" max="3" width="6.28515625" style="217" customWidth="1"/>
    <col min="4" max="5" width="6.42578125" style="217" bestFit="1" customWidth="1"/>
    <col min="6" max="8" width="4.85546875" style="217" customWidth="1"/>
    <col min="9" max="9" width="5" style="217" customWidth="1"/>
    <col min="10" max="10" width="8.140625" style="217" bestFit="1" customWidth="1"/>
    <col min="11" max="12" width="5.28515625" style="217" bestFit="1" customWidth="1"/>
    <col min="13" max="13" width="6.140625" style="217" bestFit="1" customWidth="1"/>
    <col min="14" max="14" width="5.5703125" style="217" bestFit="1" customWidth="1"/>
    <col min="15" max="15" width="5.7109375" style="217" bestFit="1" customWidth="1"/>
    <col min="16" max="16" width="8.140625" style="217" bestFit="1" customWidth="1"/>
    <col min="17" max="17" width="8" style="217" bestFit="1" customWidth="1"/>
    <col min="18" max="18" width="8.28515625" style="217" bestFit="1" customWidth="1"/>
    <col min="19" max="19" width="7" style="217" customWidth="1"/>
    <col min="20" max="20" width="5.85546875" style="217" bestFit="1" customWidth="1"/>
    <col min="21" max="21" width="6.140625" style="217" bestFit="1" customWidth="1"/>
    <col min="22" max="22" width="8.42578125" style="217" bestFit="1" customWidth="1"/>
    <col min="23" max="23" width="10.7109375" style="217" bestFit="1" customWidth="1"/>
    <col min="24" max="24" width="9.85546875" style="217" bestFit="1" customWidth="1"/>
    <col min="25" max="25" width="10.140625" style="291" bestFit="1" customWidth="1"/>
    <col min="26" max="26" width="9.28515625" style="217" bestFit="1" customWidth="1"/>
    <col min="27" max="16384" width="11.5703125" style="214"/>
  </cols>
  <sheetData>
    <row r="1" spans="1:28" ht="15.75" x14ac:dyDescent="0.25">
      <c r="B1" s="215" t="s">
        <v>56</v>
      </c>
      <c r="C1" s="216"/>
      <c r="D1" s="216"/>
      <c r="E1" s="216"/>
      <c r="Y1" s="218"/>
      <c r="Z1" s="219"/>
    </row>
    <row r="2" spans="1:28" ht="15.75" x14ac:dyDescent="0.25">
      <c r="B2" s="215" t="str">
        <f>AP!B1</f>
        <v>Abschlussprüfung 2023</v>
      </c>
      <c r="C2" s="216"/>
      <c r="D2" s="216"/>
      <c r="E2" s="216"/>
      <c r="Y2" s="218"/>
      <c r="Z2" s="219"/>
    </row>
    <row r="3" spans="1:28" ht="15.75" x14ac:dyDescent="0.25">
      <c r="B3" s="215" t="s">
        <v>86</v>
      </c>
      <c r="C3" s="216"/>
      <c r="D3" s="216"/>
      <c r="E3" s="216"/>
      <c r="Y3" s="218"/>
      <c r="Z3" s="219"/>
    </row>
    <row r="4" spans="1:28" ht="15.75" x14ac:dyDescent="0.25">
      <c r="B4" s="293" t="str">
        <f xml:space="preserve"> AP!B3</f>
        <v xml:space="preserve">Klasse: </v>
      </c>
      <c r="C4" s="214"/>
      <c r="D4" s="214"/>
      <c r="E4" s="216"/>
      <c r="Y4" s="218"/>
      <c r="Z4" s="219"/>
    </row>
    <row r="5" spans="1:28" ht="16.5" thickBot="1" x14ac:dyDescent="0.3">
      <c r="B5" s="292" t="str">
        <f>AP!E3</f>
        <v xml:space="preserve">Lehrer/in: </v>
      </c>
      <c r="C5" s="216"/>
      <c r="D5" s="220"/>
      <c r="E5" s="220"/>
      <c r="F5" s="221"/>
      <c r="G5" s="221"/>
      <c r="H5" s="221"/>
      <c r="I5" s="221"/>
      <c r="J5" s="221"/>
      <c r="Y5" s="218"/>
      <c r="Z5" s="219"/>
    </row>
    <row r="6" spans="1:28" x14ac:dyDescent="0.2">
      <c r="C6" s="544" t="s">
        <v>87</v>
      </c>
      <c r="D6" s="545"/>
      <c r="E6" s="545"/>
      <c r="F6" s="545"/>
      <c r="G6" s="545"/>
      <c r="H6" s="545"/>
      <c r="I6" s="545"/>
      <c r="J6" s="545"/>
      <c r="K6" s="545"/>
      <c r="L6" s="545"/>
      <c r="M6" s="545"/>
      <c r="N6" s="545"/>
      <c r="O6" s="545"/>
      <c r="P6" s="545"/>
      <c r="Q6" s="545"/>
      <c r="R6" s="546"/>
      <c r="S6" s="544" t="s">
        <v>88</v>
      </c>
      <c r="T6" s="545"/>
      <c r="U6" s="545"/>
      <c r="V6" s="545"/>
      <c r="W6" s="545"/>
      <c r="X6" s="546"/>
      <c r="Y6" s="547" t="s">
        <v>89</v>
      </c>
      <c r="Z6" s="548"/>
    </row>
    <row r="7" spans="1:28" x14ac:dyDescent="0.2">
      <c r="C7" s="549" t="s">
        <v>90</v>
      </c>
      <c r="D7" s="534"/>
      <c r="E7" s="534"/>
      <c r="F7" s="534"/>
      <c r="G7" s="534"/>
      <c r="H7" s="534"/>
      <c r="I7" s="534"/>
      <c r="J7" s="550"/>
      <c r="K7" s="533" t="s">
        <v>91</v>
      </c>
      <c r="L7" s="534"/>
      <c r="M7" s="534"/>
      <c r="N7" s="534"/>
      <c r="O7" s="534"/>
      <c r="P7" s="550"/>
      <c r="Q7" s="222"/>
      <c r="R7" s="223"/>
      <c r="S7" s="551" t="s">
        <v>92</v>
      </c>
      <c r="T7" s="536"/>
      <c r="U7" s="536"/>
      <c r="V7" s="537"/>
      <c r="W7" s="224"/>
      <c r="X7" s="223"/>
      <c r="Y7" s="225"/>
      <c r="Z7" s="226"/>
    </row>
    <row r="8" spans="1:28" x14ac:dyDescent="0.2">
      <c r="C8" s="227" t="s">
        <v>93</v>
      </c>
      <c r="D8" s="228" t="s">
        <v>93</v>
      </c>
      <c r="E8" s="229" t="s">
        <v>93</v>
      </c>
      <c r="F8" s="228" t="s">
        <v>93</v>
      </c>
      <c r="G8" s="229" t="s">
        <v>93</v>
      </c>
      <c r="H8" s="228" t="s">
        <v>93</v>
      </c>
      <c r="I8" s="230" t="s">
        <v>93</v>
      </c>
      <c r="J8" s="231"/>
      <c r="K8" s="533" t="s">
        <v>94</v>
      </c>
      <c r="L8" s="534"/>
      <c r="M8" s="535" t="s">
        <v>95</v>
      </c>
      <c r="N8" s="536"/>
      <c r="O8" s="537"/>
      <c r="P8" s="231"/>
      <c r="Q8" s="232"/>
      <c r="R8" s="223"/>
      <c r="S8" s="233"/>
      <c r="T8" s="234"/>
      <c r="U8" s="234"/>
      <c r="V8" s="235"/>
      <c r="W8" s="224"/>
      <c r="X8" s="223"/>
      <c r="Y8" s="225"/>
      <c r="Z8" s="226"/>
    </row>
    <row r="9" spans="1:28" x14ac:dyDescent="0.2">
      <c r="A9" s="217"/>
      <c r="B9" s="217"/>
      <c r="C9" s="236"/>
      <c r="D9" s="237"/>
      <c r="E9" s="237"/>
      <c r="F9" s="237"/>
      <c r="G9" s="237"/>
      <c r="H9" s="237"/>
      <c r="I9" s="238"/>
      <c r="J9" s="231" t="s">
        <v>64</v>
      </c>
      <c r="K9" s="239"/>
      <c r="M9" s="239" t="s">
        <v>96</v>
      </c>
      <c r="N9" s="217" t="s">
        <v>97</v>
      </c>
      <c r="O9" s="240" t="s">
        <v>98</v>
      </c>
      <c r="P9" s="231" t="s">
        <v>64</v>
      </c>
      <c r="Q9" s="232" t="s">
        <v>99</v>
      </c>
      <c r="R9" s="241" t="s">
        <v>100</v>
      </c>
      <c r="S9" s="242" t="s">
        <v>101</v>
      </c>
      <c r="T9" s="217" t="s">
        <v>102</v>
      </c>
      <c r="U9" s="217" t="s">
        <v>103</v>
      </c>
      <c r="V9" s="243" t="s">
        <v>12</v>
      </c>
      <c r="W9" s="244" t="s">
        <v>104</v>
      </c>
      <c r="X9" s="245" t="s">
        <v>100</v>
      </c>
      <c r="Y9" s="225" t="s">
        <v>104</v>
      </c>
      <c r="Z9" s="246" t="s">
        <v>100</v>
      </c>
    </row>
    <row r="10" spans="1:28" ht="13.5" thickBot="1" x14ac:dyDescent="0.25">
      <c r="A10" s="247"/>
      <c r="B10" s="248" t="s">
        <v>105</v>
      </c>
      <c r="C10" s="249" t="s">
        <v>93</v>
      </c>
      <c r="D10" s="250" t="s">
        <v>93</v>
      </c>
      <c r="E10" s="250" t="s">
        <v>93</v>
      </c>
      <c r="F10" s="250" t="s">
        <v>93</v>
      </c>
      <c r="G10" s="250" t="s">
        <v>93</v>
      </c>
      <c r="H10" s="250" t="s">
        <v>93</v>
      </c>
      <c r="I10" s="251" t="s">
        <v>93</v>
      </c>
      <c r="J10" s="252">
        <f>SUM(C10:I10)</f>
        <v>0</v>
      </c>
      <c r="K10" s="253" t="s">
        <v>93</v>
      </c>
      <c r="L10" s="250" t="s">
        <v>93</v>
      </c>
      <c r="M10" s="253" t="s">
        <v>93</v>
      </c>
      <c r="N10" s="253" t="s">
        <v>93</v>
      </c>
      <c r="O10" s="253" t="s">
        <v>93</v>
      </c>
      <c r="P10" s="252">
        <f>SUM(K10:O10)</f>
        <v>0</v>
      </c>
      <c r="Q10" s="254">
        <f>ROUND(J10+P10,0)</f>
        <v>0</v>
      </c>
      <c r="R10" s="255" t="s">
        <v>106</v>
      </c>
      <c r="S10" s="256">
        <v>15</v>
      </c>
      <c r="T10" s="220">
        <v>15</v>
      </c>
      <c r="U10" s="220">
        <v>15</v>
      </c>
      <c r="V10" s="243">
        <f>SUM(S10:U10)</f>
        <v>45</v>
      </c>
      <c r="W10" s="244" t="s">
        <v>107</v>
      </c>
      <c r="X10" s="245" t="s">
        <v>107</v>
      </c>
      <c r="Y10" s="225" t="s">
        <v>108</v>
      </c>
      <c r="Z10" s="246" t="s">
        <v>108</v>
      </c>
    </row>
    <row r="11" spans="1:28" ht="12.75" customHeight="1" x14ac:dyDescent="0.2">
      <c r="A11" s="538">
        <v>1</v>
      </c>
      <c r="B11" s="538" t="str">
        <f>IF('1. Halbjahr'!B4&lt;&gt;"", '1. Halbjahr'!B4, "")</f>
        <v/>
      </c>
      <c r="C11" s="257"/>
      <c r="D11" s="257"/>
      <c r="E11" s="257"/>
      <c r="F11" s="257"/>
      <c r="G11" s="257"/>
      <c r="H11" s="257"/>
      <c r="I11" s="258"/>
      <c r="J11" s="259" t="str">
        <f>IF(OR(B11="",COUNT(C11:I11)=0),"",SUM(C11:I11))</f>
        <v/>
      </c>
      <c r="K11" s="260"/>
      <c r="L11" s="261"/>
      <c r="M11" s="260"/>
      <c r="N11" s="257"/>
      <c r="O11" s="261"/>
      <c r="P11" s="262" t="str">
        <f>IF(OR(B11="",COUNT(K11:O11)=0),"",SUM(K11:O11))</f>
        <v/>
      </c>
      <c r="Q11" s="263" t="str">
        <f>IF(OR(B11="",COUNT(C11:I11)+COUNT(K11:O11)=0),"",ROUND(SUM(P11,J11),0))</f>
        <v/>
      </c>
      <c r="R11" s="264" t="str">
        <f ca="1">IF(Q11="","",IF(AP!$E$42="BE",INDIRECT("AP!P"&amp;MATCH(100*Q11/AP!$E$44,AP!$Q$4:$Q$20,-1)+4),Q11))</f>
        <v/>
      </c>
      <c r="S11" s="540"/>
      <c r="T11" s="542"/>
      <c r="U11" s="552"/>
      <c r="V11" s="554" t="str">
        <f>IF(B11="","",SUM(S11:U11))</f>
        <v/>
      </c>
      <c r="W11" s="556" t="str">
        <f>IF(B11="","",IF(ISBLANK(S11),"",IF(AVERAGE(S11:U11)&lt;10,LEFT(AVERAGE(S11:U11),4),LEFT(AVERAGE(S11:U11),5))))</f>
        <v/>
      </c>
      <c r="X11" s="558" t="str">
        <f>IF(B11="","",IF(W11="","",IF(LEFT(W11,1)="0",0,ROUND(W11,0))))</f>
        <v/>
      </c>
      <c r="Y11" s="265" t="str">
        <f>IF(B11="","",ROUNDUP(AVERAGE(R11,R11,X11),2))</f>
        <v/>
      </c>
      <c r="Z11" s="266" t="str">
        <f>IF(B11="","",IF(TRUNC(Y11,0)=0,0,ROUND(Y11,0)))</f>
        <v/>
      </c>
      <c r="AB11" s="267"/>
    </row>
    <row r="12" spans="1:28" ht="13.5" customHeight="1" thickBot="1" x14ac:dyDescent="0.25">
      <c r="A12" s="539"/>
      <c r="B12" s="539"/>
      <c r="C12" s="268"/>
      <c r="D12" s="268"/>
      <c r="E12" s="268"/>
      <c r="F12" s="268"/>
      <c r="G12" s="268"/>
      <c r="H12" s="268"/>
      <c r="I12" s="268"/>
      <c r="J12" s="269" t="str">
        <f>IF(OR(B11="",COUNT(C12:I12)=0),"",SUM(C12:I12))</f>
        <v/>
      </c>
      <c r="K12" s="268"/>
      <c r="L12" s="268"/>
      <c r="M12" s="270"/>
      <c r="N12" s="268"/>
      <c r="O12" s="271"/>
      <c r="P12" s="272" t="str">
        <f>IF(OR(B11="",COUNT(K12:O12)=0),"",SUM(K12:O12))</f>
        <v/>
      </c>
      <c r="Q12" s="273" t="str">
        <f>IF(OR(B11="",COUNT(C12:I12)+COUNT(K12:O12)=0),"",ROUND(SUM(P12,J12),0))</f>
        <v/>
      </c>
      <c r="R12" s="344" t="str">
        <f ca="1">IF(Q12="","",IF(AP!$E$42="BE",INDIRECT("AP!P"&amp;MATCH(100*Q12/AP!$E$44,AP!$Q$4:$Q$20,-1)+4),Q12))</f>
        <v/>
      </c>
      <c r="S12" s="541"/>
      <c r="T12" s="543"/>
      <c r="U12" s="553"/>
      <c r="V12" s="555"/>
      <c r="W12" s="557"/>
      <c r="X12" s="559"/>
      <c r="Y12" s="274" t="str">
        <f>IF(B11="","",ROUNDUP(AVERAGE(R12,R12,X11),2))</f>
        <v/>
      </c>
      <c r="Z12" s="275" t="str">
        <f>IF(B11="","",IF(TRUNC(Y12,0)=0,0,ROUND(Y12,0)))</f>
        <v/>
      </c>
    </row>
    <row r="13" spans="1:28" ht="12.75" customHeight="1" x14ac:dyDescent="0.2">
      <c r="A13" s="538">
        <v>2</v>
      </c>
      <c r="B13" s="538" t="str">
        <f>IF('1. Halbjahr'!B5&lt;&gt;"", '1. Halbjahr'!B5, "")</f>
        <v/>
      </c>
      <c r="C13" s="276"/>
      <c r="D13" s="257"/>
      <c r="E13" s="257"/>
      <c r="F13" s="257"/>
      <c r="G13" s="257"/>
      <c r="H13" s="257"/>
      <c r="I13" s="257"/>
      <c r="J13" s="277" t="str">
        <f>IF(OR(B13="",COUNT(C13:I13)=0),"",SUM(C13:I13))</f>
        <v/>
      </c>
      <c r="K13" s="260"/>
      <c r="L13" s="261"/>
      <c r="M13" s="260"/>
      <c r="N13" s="257"/>
      <c r="O13" s="261"/>
      <c r="P13" s="262" t="str">
        <f>IF(OR(B13="",COUNT(K13:O13)=0),"",SUM(K13:O13))</f>
        <v/>
      </c>
      <c r="Q13" s="263" t="str">
        <f>IF(OR(B13="",COUNT(C13:I13)+COUNT(K13:O13)=0),"",ROUND(SUM(P13,J13),0))</f>
        <v/>
      </c>
      <c r="R13" s="266" t="str">
        <f ca="1">IF(Q13="","",IF(AP!$E$42="BE",INDIRECT("AP!P"&amp;MATCH(100*Q13/AP!$E$44,AP!$Q$4:$Q$20,-1)+4),Q13))</f>
        <v/>
      </c>
      <c r="S13" s="540"/>
      <c r="T13" s="542"/>
      <c r="U13" s="552"/>
      <c r="V13" s="554" t="str">
        <f>IF(B13="","",SUM(S13:U13))</f>
        <v/>
      </c>
      <c r="W13" s="556" t="str">
        <f>IF(B13="","",IF(ISBLANK(S13),"",IF(AVERAGE(S13:U13)&lt;10,LEFT(AVERAGE(S13:U13),4),LEFT(AVERAGE(S13:U13),5))))</f>
        <v/>
      </c>
      <c r="X13" s="558" t="str">
        <f>IF(B13="","",IF(W13="","",IF(LEFT(W13,1)="0",0,ROUND(W13,0))))</f>
        <v/>
      </c>
      <c r="Y13" s="265" t="str">
        <f>IF(B13="","",ROUNDUP(AVERAGE(R13,R13,X13),2))</f>
        <v/>
      </c>
      <c r="Z13" s="266" t="str">
        <f>IF(B13="","",IF(TRUNC(Y13,0)=0,0,ROUND(Y13,0)))</f>
        <v/>
      </c>
      <c r="AA13" s="278"/>
    </row>
    <row r="14" spans="1:28" ht="13.5" customHeight="1" thickBot="1" x14ac:dyDescent="0.25">
      <c r="A14" s="539"/>
      <c r="B14" s="539"/>
      <c r="C14" s="279"/>
      <c r="D14" s="268"/>
      <c r="E14" s="268"/>
      <c r="F14" s="268"/>
      <c r="G14" s="268"/>
      <c r="H14" s="268"/>
      <c r="I14" s="268"/>
      <c r="J14" s="280" t="str">
        <f>IF(OR(B13="",COUNT(C14:I14)=0),"",SUM(C14:I14))</f>
        <v/>
      </c>
      <c r="K14" s="268"/>
      <c r="L14" s="268"/>
      <c r="M14" s="281"/>
      <c r="N14" s="268"/>
      <c r="O14" s="282"/>
      <c r="P14" s="280" t="str">
        <f>IF(OR(B13="",COUNT(K14:O14)=0),"",SUM(K14:O14))</f>
        <v/>
      </c>
      <c r="Q14" s="273" t="str">
        <f>IF(OR(B13="",COUNT(C14:I14)+COUNT(K14:O14)=0),"",ROUND(SUM(P14,J14),0))</f>
        <v/>
      </c>
      <c r="R14" s="344" t="str">
        <f ca="1">IF(Q14="","",IF(AP!$E$42="BE",INDIRECT("AP!P"&amp;MATCH(100*Q14/AP!$E$44,AP!$Q$4:$Q$20,-1)+4),Q14))</f>
        <v/>
      </c>
      <c r="S14" s="541"/>
      <c r="T14" s="543"/>
      <c r="U14" s="553"/>
      <c r="V14" s="555"/>
      <c r="W14" s="557"/>
      <c r="X14" s="559"/>
      <c r="Y14" s="274" t="str">
        <f>IF(B13="","",ROUNDUP(AVERAGE(R14,R14,X13),2))</f>
        <v/>
      </c>
      <c r="Z14" s="275" t="str">
        <f>IF(B13="","",IF(TRUNC(Y14,0)=0,0,ROUND(Y14,0)))</f>
        <v/>
      </c>
    </row>
    <row r="15" spans="1:28" ht="12.75" customHeight="1" x14ac:dyDescent="0.2">
      <c r="A15" s="538">
        <v>3</v>
      </c>
      <c r="B15" s="538" t="str">
        <f>IF('1. Halbjahr'!B6&lt;&gt;"", '1. Halbjahr'!B6, "")</f>
        <v/>
      </c>
      <c r="C15" s="276"/>
      <c r="D15" s="257"/>
      <c r="E15" s="257"/>
      <c r="F15" s="257"/>
      <c r="G15" s="257"/>
      <c r="H15" s="257"/>
      <c r="I15" s="257"/>
      <c r="J15" s="259" t="str">
        <f>IF(OR(B15="",COUNT(C15:I15)=0),"",SUM(C15:I15))</f>
        <v/>
      </c>
      <c r="K15" s="260"/>
      <c r="L15" s="261"/>
      <c r="M15" s="260"/>
      <c r="N15" s="257"/>
      <c r="O15" s="261"/>
      <c r="P15" s="262" t="str">
        <f>IF(OR(B15="",COUNT(K15:O15)=0),"",SUM(K15:O15))</f>
        <v/>
      </c>
      <c r="Q15" s="263" t="str">
        <f>IF(OR(B15="",COUNT(C15:I15)+COUNT(K15:O15)=0),"",ROUND(SUM(P15,J15),0))</f>
        <v/>
      </c>
      <c r="R15" s="266" t="str">
        <f ca="1">IF(Q15="","",IF(AP!$E$42="BE",INDIRECT("AP!P"&amp;MATCH(100*Q15/AP!$E$44,AP!$Q$4:$Q$20,-1)+4),Q15))</f>
        <v/>
      </c>
      <c r="S15" s="540"/>
      <c r="T15" s="542"/>
      <c r="U15" s="552"/>
      <c r="V15" s="554" t="str">
        <f>IF(B15="","",SUM(S15:U15))</f>
        <v/>
      </c>
      <c r="W15" s="556" t="str">
        <f>IF(B15="","",IF(ISBLANK(S15),"",IF(AVERAGE(S15:U15)&lt;10,LEFT(AVERAGE(S15:U15),4),LEFT(AVERAGE(S15:U15),5))))</f>
        <v/>
      </c>
      <c r="X15" s="558" t="str">
        <f>IF(B15="","",IF(W15="","",IF(LEFT(W15,1)="0",0,ROUND(W15,0))))</f>
        <v/>
      </c>
      <c r="Y15" s="265" t="str">
        <f>IF(B15="","",ROUNDUP(AVERAGE(R15,R15,X15),2))</f>
        <v/>
      </c>
      <c r="Z15" s="266" t="str">
        <f>IF(B15="","",IF(TRUNC(Y15,0)=0,0,ROUND(Y15,0)))</f>
        <v/>
      </c>
    </row>
    <row r="16" spans="1:28" ht="13.5" customHeight="1" thickBot="1" x14ac:dyDescent="0.25">
      <c r="A16" s="539"/>
      <c r="B16" s="539"/>
      <c r="C16" s="279"/>
      <c r="D16" s="268"/>
      <c r="E16" s="268"/>
      <c r="F16" s="268"/>
      <c r="G16" s="268"/>
      <c r="H16" s="268"/>
      <c r="I16" s="268"/>
      <c r="J16" s="283" t="str">
        <f>IF(OR(B15="",COUNT(C16:I16)=0),"",SUM(C16:I16))</f>
        <v/>
      </c>
      <c r="K16" s="268"/>
      <c r="L16" s="268"/>
      <c r="M16" s="281"/>
      <c r="N16" s="268"/>
      <c r="O16" s="282"/>
      <c r="P16" s="280" t="str">
        <f>IF(OR(B15="",COUNT(K16:O16)=0),"",SUM(K16:O16))</f>
        <v/>
      </c>
      <c r="Q16" s="273" t="str">
        <f>IF(OR(B15="",COUNT(C16:I16)+COUNT(K16:O16)=0),"",ROUND(SUM(P16,J16),0))</f>
        <v/>
      </c>
      <c r="R16" s="344" t="str">
        <f ca="1">IF(Q16="","",IF(AP!$E$42="BE",INDIRECT("AP!P"&amp;MATCH(100*Q16/AP!$E$44,AP!$Q$4:$Q$20,-1)+4),Q16))</f>
        <v/>
      </c>
      <c r="S16" s="541"/>
      <c r="T16" s="543"/>
      <c r="U16" s="553"/>
      <c r="V16" s="555"/>
      <c r="W16" s="557"/>
      <c r="X16" s="559"/>
      <c r="Y16" s="274" t="str">
        <f>IF(B15="","",ROUNDUP(AVERAGE(R16,R16,X15),2))</f>
        <v/>
      </c>
      <c r="Z16" s="275" t="str">
        <f>IF(B15="","",IF(TRUNC(Y16,0)=0,0,ROUND(Y16,0)))</f>
        <v/>
      </c>
    </row>
    <row r="17" spans="1:26" ht="12.75" customHeight="1" x14ac:dyDescent="0.2">
      <c r="A17" s="538">
        <v>4</v>
      </c>
      <c r="B17" s="538" t="str">
        <f>IF('1. Halbjahr'!B7&lt;&gt;"", '1. Halbjahr'!B7, "")</f>
        <v/>
      </c>
      <c r="C17" s="276"/>
      <c r="D17" s="257"/>
      <c r="E17" s="257"/>
      <c r="F17" s="257"/>
      <c r="G17" s="257"/>
      <c r="H17" s="257"/>
      <c r="I17" s="257"/>
      <c r="J17" s="259" t="str">
        <f>IF(OR(B17="",COUNT(C17:I17)=0),"",SUM(C17:I17))</f>
        <v/>
      </c>
      <c r="K17" s="260"/>
      <c r="L17" s="261"/>
      <c r="M17" s="260"/>
      <c r="N17" s="257"/>
      <c r="O17" s="261"/>
      <c r="P17" s="262" t="str">
        <f>IF(OR(B17="",COUNT(K17:O17)=0),"",SUM(K17:O17))</f>
        <v/>
      </c>
      <c r="Q17" s="263" t="str">
        <f>IF(OR(B17="",COUNT(C17:I17)+COUNT(K17:O17)=0),"",ROUND(SUM(P17,J17),0))</f>
        <v/>
      </c>
      <c r="R17" s="266" t="str">
        <f ca="1">IF(Q17="","",IF(AP!$E$42="BE",INDIRECT("AP!P"&amp;MATCH(100*Q17/AP!$E$44,AP!$Q$4:$Q$20,-1)+4),Q17))</f>
        <v/>
      </c>
      <c r="S17" s="540"/>
      <c r="T17" s="542"/>
      <c r="U17" s="552"/>
      <c r="V17" s="554" t="str">
        <f>IF(B17="","",SUM(S17:U17))</f>
        <v/>
      </c>
      <c r="W17" s="556" t="str">
        <f>IF(B17="","",IF(ISBLANK(S17),"",IF(AVERAGE(S17:U17)&lt;10,LEFT(AVERAGE(S17:U17),4),LEFT(AVERAGE(S17:U17),5))))</f>
        <v/>
      </c>
      <c r="X17" s="558" t="str">
        <f>IF(B17="","",IF(W17="","",IF(LEFT(W17,1)="0",0,ROUND(W17,0))))</f>
        <v/>
      </c>
      <c r="Y17" s="265" t="str">
        <f>IF(B17="","",ROUNDUP(AVERAGE(R17,R17,X17),2))</f>
        <v/>
      </c>
      <c r="Z17" s="266" t="str">
        <f>IF(B17="","",IF(TRUNC(Y17,0)=0,0,ROUND(Y17,0)))</f>
        <v/>
      </c>
    </row>
    <row r="18" spans="1:26" ht="13.5" customHeight="1" thickBot="1" x14ac:dyDescent="0.25">
      <c r="A18" s="539"/>
      <c r="B18" s="539"/>
      <c r="C18" s="279"/>
      <c r="D18" s="268"/>
      <c r="E18" s="268"/>
      <c r="F18" s="268"/>
      <c r="G18" s="268"/>
      <c r="H18" s="268"/>
      <c r="I18" s="268"/>
      <c r="J18" s="283" t="str">
        <f>IF(OR(B17="",COUNT(C18:I18)=0),"",SUM(C18:I18))</f>
        <v/>
      </c>
      <c r="K18" s="268"/>
      <c r="L18" s="268"/>
      <c r="M18" s="281"/>
      <c r="N18" s="268"/>
      <c r="O18" s="282"/>
      <c r="P18" s="280" t="str">
        <f>IF(OR(B17="",COUNT(K18:O18)=0),"",SUM(K18:O18))</f>
        <v/>
      </c>
      <c r="Q18" s="273" t="str">
        <f>IF(OR(B17="",COUNT(C18:I18)+COUNT(K18:O18)=0),"",ROUND(SUM(P18,J18),0))</f>
        <v/>
      </c>
      <c r="R18" s="344" t="str">
        <f ca="1">IF(Q18="","",IF(AP!$E$42="BE",INDIRECT("AP!P"&amp;MATCH(100*Q18/AP!$E$44,AP!$Q$4:$Q$20,-1)+4),Q18))</f>
        <v/>
      </c>
      <c r="S18" s="541"/>
      <c r="T18" s="543"/>
      <c r="U18" s="553"/>
      <c r="V18" s="555"/>
      <c r="W18" s="557"/>
      <c r="X18" s="559"/>
      <c r="Y18" s="274" t="str">
        <f>IF(B17="","",ROUNDUP(AVERAGE(R18,R18,X17),2))</f>
        <v/>
      </c>
      <c r="Z18" s="275" t="str">
        <f>IF(B17="","",IF(TRUNC(Y18,0)=0,0,ROUND(Y18,0)))</f>
        <v/>
      </c>
    </row>
    <row r="19" spans="1:26" ht="12.75" customHeight="1" x14ac:dyDescent="0.2">
      <c r="A19" s="538">
        <v>5</v>
      </c>
      <c r="B19" s="538" t="str">
        <f>IF('1. Halbjahr'!B8&lt;&gt;"", '1. Halbjahr'!B8, "")</f>
        <v/>
      </c>
      <c r="C19" s="276"/>
      <c r="D19" s="257"/>
      <c r="E19" s="257"/>
      <c r="F19" s="257"/>
      <c r="G19" s="257"/>
      <c r="H19" s="257"/>
      <c r="I19" s="257"/>
      <c r="J19" s="277" t="str">
        <f>IF(OR(B19="",COUNT(C19:I19)=0),"",SUM(C19:I19))</f>
        <v/>
      </c>
      <c r="K19" s="260"/>
      <c r="L19" s="261"/>
      <c r="M19" s="260"/>
      <c r="N19" s="257"/>
      <c r="O19" s="261"/>
      <c r="P19" s="262" t="str">
        <f>IF(OR(B19="",COUNT(K19:O19)=0),"",SUM(K19:O19))</f>
        <v/>
      </c>
      <c r="Q19" s="263" t="str">
        <f>IF(OR(B19="",COUNT(C19:I19)+COUNT(K19:O19)=0),"",ROUND(SUM(P19,J19),0))</f>
        <v/>
      </c>
      <c r="R19" s="266" t="str">
        <f ca="1">IF(Q19="","",IF(AP!$E$42="BE",INDIRECT("AP!P"&amp;MATCH(100*Q19/AP!$E$44,AP!$Q$4:$Q$20,-1)+4),Q19))</f>
        <v/>
      </c>
      <c r="S19" s="540"/>
      <c r="T19" s="542"/>
      <c r="U19" s="552"/>
      <c r="V19" s="554" t="str">
        <f>IF(B19="","",SUM(S19:U19))</f>
        <v/>
      </c>
      <c r="W19" s="556" t="str">
        <f>IF(B19="","",IF(ISBLANK(S19),"",IF(AVERAGE(S19:U19)&lt;10,LEFT(AVERAGE(S19:U19),4),LEFT(AVERAGE(S19:U19),5))))</f>
        <v/>
      </c>
      <c r="X19" s="558" t="str">
        <f>IF(B19="","",IF(W19="","",IF(LEFT(W19,1)="0",0,ROUND(W19,0))))</f>
        <v/>
      </c>
      <c r="Y19" s="265" t="str">
        <f>IF(B19="","",ROUNDUP(AVERAGE(R19,R19,X19),2))</f>
        <v/>
      </c>
      <c r="Z19" s="266" t="str">
        <f>IF(B19="","",IF(TRUNC(Y19,0)=0,0,ROUND(Y19,0)))</f>
        <v/>
      </c>
    </row>
    <row r="20" spans="1:26" ht="13.5" customHeight="1" thickBot="1" x14ac:dyDescent="0.25">
      <c r="A20" s="539"/>
      <c r="B20" s="539"/>
      <c r="C20" s="279"/>
      <c r="D20" s="268"/>
      <c r="E20" s="268"/>
      <c r="F20" s="268"/>
      <c r="G20" s="268"/>
      <c r="H20" s="268"/>
      <c r="I20" s="268"/>
      <c r="J20" s="280" t="str">
        <f>IF(OR(B19="",COUNT(C20:I20)=0),"",SUM(C20:I20))</f>
        <v/>
      </c>
      <c r="K20" s="268"/>
      <c r="L20" s="268"/>
      <c r="M20" s="281"/>
      <c r="N20" s="268"/>
      <c r="O20" s="282"/>
      <c r="P20" s="280" t="str">
        <f>IF(OR(B19="",COUNT(K20:O20)=0),"",SUM(K20:O20))</f>
        <v/>
      </c>
      <c r="Q20" s="273" t="str">
        <f>IF(OR(B19="",COUNT(C20:I20)+COUNT(K20:O20)=0),"",ROUND(SUM(P20,J20),0))</f>
        <v/>
      </c>
      <c r="R20" s="344" t="str">
        <f ca="1">IF(Q20="","",IF(AP!$E$42="BE",INDIRECT("AP!P"&amp;MATCH(100*Q20/AP!$E$44,AP!$Q$4:$Q$20,-1)+4),Q20))</f>
        <v/>
      </c>
      <c r="S20" s="541"/>
      <c r="T20" s="543"/>
      <c r="U20" s="553"/>
      <c r="V20" s="555"/>
      <c r="W20" s="557"/>
      <c r="X20" s="559"/>
      <c r="Y20" s="274" t="str">
        <f>IF(B19="","",ROUNDUP(AVERAGE(R20,R20,X19),2))</f>
        <v/>
      </c>
      <c r="Z20" s="275" t="str">
        <f>IF(B19="","",IF(TRUNC(Y20,0)=0,0,ROUND(Y20,0)))</f>
        <v/>
      </c>
    </row>
    <row r="21" spans="1:26" ht="12.75" customHeight="1" x14ac:dyDescent="0.2">
      <c r="A21" s="538">
        <v>6</v>
      </c>
      <c r="B21" s="538" t="str">
        <f>IF('1. Halbjahr'!B9&lt;&gt;"", '1. Halbjahr'!B9, "")</f>
        <v/>
      </c>
      <c r="C21" s="276"/>
      <c r="D21" s="257"/>
      <c r="E21" s="257"/>
      <c r="F21" s="257"/>
      <c r="G21" s="257"/>
      <c r="H21" s="257"/>
      <c r="I21" s="257"/>
      <c r="J21" s="277" t="str">
        <f>IF(OR(B21="",COUNT(C21:I21)=0),"",SUM(C21:I21))</f>
        <v/>
      </c>
      <c r="K21" s="260"/>
      <c r="L21" s="261"/>
      <c r="M21" s="260"/>
      <c r="N21" s="257"/>
      <c r="O21" s="261"/>
      <c r="P21" s="262" t="str">
        <f>IF(OR(B21="",COUNT(K21:O21)=0),"",SUM(K21:O21))</f>
        <v/>
      </c>
      <c r="Q21" s="263" t="str">
        <f>IF(OR(B21="",COUNT(C21:I21)+COUNT(K21:O21)=0),"",ROUND(SUM(P21,J21),0))</f>
        <v/>
      </c>
      <c r="R21" s="266" t="str">
        <f ca="1">IF(Q21="","",IF(AP!$E$42="BE",INDIRECT("AP!P"&amp;MATCH(100*Q21/AP!$E$44,AP!$Q$4:$Q$20,-1)+4),Q21))</f>
        <v/>
      </c>
      <c r="S21" s="540"/>
      <c r="T21" s="542"/>
      <c r="U21" s="552"/>
      <c r="V21" s="554" t="str">
        <f>IF(B21="","",SUM(S21:U21))</f>
        <v/>
      </c>
      <c r="W21" s="556" t="str">
        <f>IF(B21="","",IF(ISBLANK(S21),"",IF(AVERAGE(S21:U21)&lt;10,LEFT(AVERAGE(S21:U21),4),LEFT(AVERAGE(S21:U21),5))))</f>
        <v/>
      </c>
      <c r="X21" s="558" t="str">
        <f>IF(B21="","",IF(W21="","",IF(LEFT(W21,1)="0",0,ROUND(W21,0))))</f>
        <v/>
      </c>
      <c r="Y21" s="265" t="str">
        <f>IF(B21="","",ROUNDUP(AVERAGE(R21,R21,X21),2))</f>
        <v/>
      </c>
      <c r="Z21" s="266" t="str">
        <f>IF(B21="","",IF(TRUNC(Y21,0)=0,0,ROUND(Y21,0)))</f>
        <v/>
      </c>
    </row>
    <row r="22" spans="1:26" ht="13.5" customHeight="1" thickBot="1" x14ac:dyDescent="0.25">
      <c r="A22" s="539"/>
      <c r="B22" s="539"/>
      <c r="C22" s="279"/>
      <c r="D22" s="268"/>
      <c r="E22" s="268"/>
      <c r="F22" s="268"/>
      <c r="G22" s="268"/>
      <c r="H22" s="268"/>
      <c r="I22" s="268"/>
      <c r="J22" s="280" t="str">
        <f>IF(OR(B21="",COUNT(C22:I22)=0),"",SUM(C22:I22))</f>
        <v/>
      </c>
      <c r="K22" s="268"/>
      <c r="L22" s="268"/>
      <c r="M22" s="281"/>
      <c r="N22" s="268"/>
      <c r="O22" s="282"/>
      <c r="P22" s="280" t="str">
        <f>IF(OR(B21="",COUNT(K22:O22)=0),"",SUM(K22:O22))</f>
        <v/>
      </c>
      <c r="Q22" s="273" t="str">
        <f>IF(OR(B21="",COUNT(C22:I22)+COUNT(K22:O22)=0),"",ROUND(SUM(P22,J22),0))</f>
        <v/>
      </c>
      <c r="R22" s="286" t="str">
        <f ca="1">IF(Q22="","",IF(AP!$E$42="BE",INDIRECT("AP!P"&amp;MATCH(100*Q22/AP!$E$44,AP!$Q$4:$Q$20,-1)+4),Q22))</f>
        <v/>
      </c>
      <c r="S22" s="541"/>
      <c r="T22" s="543"/>
      <c r="U22" s="553"/>
      <c r="V22" s="555"/>
      <c r="W22" s="557"/>
      <c r="X22" s="559"/>
      <c r="Y22" s="274" t="str">
        <f>IF(B21="","",ROUNDUP(AVERAGE(R22,R22,X21),2))</f>
        <v/>
      </c>
      <c r="Z22" s="275" t="str">
        <f>IF(B21="","",IF(TRUNC(Y22,0)=0,0,ROUND(Y22,0)))</f>
        <v/>
      </c>
    </row>
    <row r="23" spans="1:26" ht="12.75" customHeight="1" x14ac:dyDescent="0.2">
      <c r="A23" s="538">
        <v>7</v>
      </c>
      <c r="B23" s="538" t="str">
        <f>IF('1. Halbjahr'!B10&lt;&gt;"", '1. Halbjahr'!B10, "")</f>
        <v/>
      </c>
      <c r="C23" s="276"/>
      <c r="D23" s="257"/>
      <c r="E23" s="257"/>
      <c r="F23" s="257"/>
      <c r="G23" s="257"/>
      <c r="H23" s="257"/>
      <c r="I23" s="257"/>
      <c r="J23" s="277" t="str">
        <f>IF(OR(B23="",COUNT(C23:I23)=0),"",SUM(C23:I23))</f>
        <v/>
      </c>
      <c r="K23" s="260"/>
      <c r="L23" s="261"/>
      <c r="M23" s="260"/>
      <c r="N23" s="257"/>
      <c r="O23" s="261"/>
      <c r="P23" s="262" t="str">
        <f>IF(OR(B23="",COUNT(K23:O23)=0),"",SUM(K23:O23))</f>
        <v/>
      </c>
      <c r="Q23" s="263" t="str">
        <f>IF(OR(B23="",COUNT(C23:I23)+COUNT(K23:O23)=0),"",ROUND(SUM(P23,J23),0))</f>
        <v/>
      </c>
      <c r="R23" s="264" t="str">
        <f ca="1">IF(Q23="","",IF(AP!$E$42="BE",INDIRECT("AP!P"&amp;MATCH(100*Q23/AP!$E$44,AP!$Q$4:$Q$20,-1)+4),Q23))</f>
        <v/>
      </c>
      <c r="S23" s="540"/>
      <c r="T23" s="542"/>
      <c r="U23" s="552"/>
      <c r="V23" s="554" t="str">
        <f>IF(B23="","",SUM(S23:U23))</f>
        <v/>
      </c>
      <c r="W23" s="556" t="str">
        <f>IF(B23="","",IF(ISBLANK(S23),"",IF(AVERAGE(S23:U23)&lt;10,LEFT(AVERAGE(S23:U23),4),LEFT(AVERAGE(S23:U23),5))))</f>
        <v/>
      </c>
      <c r="X23" s="558" t="str">
        <f>IF(B23="","",IF(W23="","",IF(LEFT(W23,1)="0",0,ROUND(W23,0))))</f>
        <v/>
      </c>
      <c r="Y23" s="265" t="str">
        <f>IF(B23="","",ROUNDUP(AVERAGE(R23,R23,X23),2))</f>
        <v/>
      </c>
      <c r="Z23" s="266" t="str">
        <f>IF(B23="","",IF(TRUNC(Y23,0)=0,0,ROUND(Y23,0)))</f>
        <v/>
      </c>
    </row>
    <row r="24" spans="1:26" ht="13.5" customHeight="1" thickBot="1" x14ac:dyDescent="0.25">
      <c r="A24" s="539"/>
      <c r="B24" s="539"/>
      <c r="C24" s="279"/>
      <c r="D24" s="268"/>
      <c r="E24" s="268"/>
      <c r="F24" s="268"/>
      <c r="G24" s="268"/>
      <c r="H24" s="268"/>
      <c r="I24" s="268"/>
      <c r="J24" s="280" t="str">
        <f>IF(OR(B23="",COUNT(C24:I24)=0),"",SUM(C24:I24))</f>
        <v/>
      </c>
      <c r="K24" s="268"/>
      <c r="L24" s="268"/>
      <c r="M24" s="281"/>
      <c r="N24" s="268"/>
      <c r="O24" s="282"/>
      <c r="P24" s="280" t="str">
        <f>IF(OR(B23="",COUNT(K24:O24)=0),"",SUM(K24:O24))</f>
        <v/>
      </c>
      <c r="Q24" s="273" t="str">
        <f>IF(OR(B23="",COUNT(C24:I24)+COUNT(K24:O24)=0),"",ROUND(SUM(P24,J24),0))</f>
        <v/>
      </c>
      <c r="R24" s="344" t="str">
        <f ca="1">IF(Q24="","",IF(AP!$E$42="BE",INDIRECT("AP!P"&amp;MATCH(100*Q24/AP!$E$44,AP!$Q$4:$Q$20,-1)+4),Q24))</f>
        <v/>
      </c>
      <c r="S24" s="541"/>
      <c r="T24" s="543"/>
      <c r="U24" s="553"/>
      <c r="V24" s="555"/>
      <c r="W24" s="557"/>
      <c r="X24" s="559"/>
      <c r="Y24" s="274" t="str">
        <f>IF(B23="","",ROUNDUP(AVERAGE(R24,R24,X23),2))</f>
        <v/>
      </c>
      <c r="Z24" s="275" t="str">
        <f>IF(B23="","",IF(TRUNC(Y24,0)=0,0,ROUND(Y24,0)))</f>
        <v/>
      </c>
    </row>
    <row r="25" spans="1:26" ht="12.75" customHeight="1" x14ac:dyDescent="0.2">
      <c r="A25" s="538">
        <v>8</v>
      </c>
      <c r="B25" s="538" t="str">
        <f>IF('1. Halbjahr'!B11&lt;&gt;"", '1. Halbjahr'!B11, "")</f>
        <v/>
      </c>
      <c r="C25" s="276"/>
      <c r="D25" s="257"/>
      <c r="E25" s="257"/>
      <c r="F25" s="257"/>
      <c r="G25" s="257"/>
      <c r="H25" s="257"/>
      <c r="I25" s="257"/>
      <c r="J25" s="277" t="str">
        <f>IF(OR(B25="",COUNT(C25:I25)=0),"",SUM(C25:I25))</f>
        <v/>
      </c>
      <c r="K25" s="260"/>
      <c r="L25" s="261"/>
      <c r="M25" s="260"/>
      <c r="N25" s="257"/>
      <c r="O25" s="261"/>
      <c r="P25" s="262" t="str">
        <f>IF(OR(B25="",COUNT(K25:O25)=0),"",SUM(K25:O25))</f>
        <v/>
      </c>
      <c r="Q25" s="263" t="str">
        <f>IF(OR(B25="",COUNT(C25:I25)+COUNT(K25:O25)=0),"",ROUND(SUM(P25,J25),0))</f>
        <v/>
      </c>
      <c r="R25" s="266" t="str">
        <f ca="1">IF(Q25="","",IF(AP!$E$42="BE",INDIRECT("AP!P"&amp;MATCH(100*Q25/AP!$E$44,AP!$Q$4:$Q$20,-1)+4),Q25))</f>
        <v/>
      </c>
      <c r="S25" s="540"/>
      <c r="T25" s="542"/>
      <c r="U25" s="552"/>
      <c r="V25" s="554" t="str">
        <f>IF(B25="","",SUM(S25:U25))</f>
        <v/>
      </c>
      <c r="W25" s="556" t="str">
        <f>IF(B25="","",IF(ISBLANK(S25),"",IF(AVERAGE(S25:U25)&lt;10,LEFT(AVERAGE(S25:U25),4),LEFT(AVERAGE(S25:U25),5))))</f>
        <v/>
      </c>
      <c r="X25" s="558" t="str">
        <f>IF(B25="","",IF(W25="","",IF(LEFT(W25,1)="0",0,ROUND(W25,0))))</f>
        <v/>
      </c>
      <c r="Y25" s="265" t="str">
        <f>IF(B25="","",ROUNDUP(AVERAGE(R25,R25,X25),2))</f>
        <v/>
      </c>
      <c r="Z25" s="266" t="str">
        <f>IF(B25="","",IF(TRUNC(Y25,0)=0,0,ROUND(Y25,0)))</f>
        <v/>
      </c>
    </row>
    <row r="26" spans="1:26" ht="13.5" customHeight="1" thickBot="1" x14ac:dyDescent="0.25">
      <c r="A26" s="539"/>
      <c r="B26" s="539"/>
      <c r="C26" s="279"/>
      <c r="D26" s="268"/>
      <c r="E26" s="268"/>
      <c r="F26" s="268"/>
      <c r="G26" s="268"/>
      <c r="H26" s="268"/>
      <c r="I26" s="268"/>
      <c r="J26" s="280" t="str">
        <f>IF(OR(B25="",COUNT(C26:I26)=0),"",SUM(C26:I26))</f>
        <v/>
      </c>
      <c r="K26" s="268"/>
      <c r="L26" s="268"/>
      <c r="M26" s="281"/>
      <c r="N26" s="268"/>
      <c r="O26" s="282"/>
      <c r="P26" s="280" t="str">
        <f>IF(OR(B25="",COUNT(K26:O26)=0),"",SUM(K26:O26))</f>
        <v/>
      </c>
      <c r="Q26" s="273" t="str">
        <f>IF(OR(B25="",COUNT(C26:I26)+COUNT(K26:O26)=0),"",ROUND(SUM(P26,J26),0))</f>
        <v/>
      </c>
      <c r="R26" s="286" t="str">
        <f ca="1">IF(Q26="","",IF(AP!$E$42="BE",INDIRECT("AP!P"&amp;MATCH(100*Q26/AP!$E$44,AP!$Q$4:$Q$20,-1)+4),Q26))</f>
        <v/>
      </c>
      <c r="S26" s="541"/>
      <c r="T26" s="543"/>
      <c r="U26" s="553"/>
      <c r="V26" s="555"/>
      <c r="W26" s="557"/>
      <c r="X26" s="559"/>
      <c r="Y26" s="274" t="str">
        <f>IF(B25="","",ROUNDUP(AVERAGE(R26,R26,X25),2))</f>
        <v/>
      </c>
      <c r="Z26" s="275" t="str">
        <f>IF(B25="","",IF(TRUNC(Y26,0)=0,0,ROUND(Y26,0)))</f>
        <v/>
      </c>
    </row>
    <row r="27" spans="1:26" ht="12.75" customHeight="1" x14ac:dyDescent="0.2">
      <c r="A27" s="538">
        <v>9</v>
      </c>
      <c r="B27" s="538" t="str">
        <f>IF('1. Halbjahr'!B12&lt;&gt;"", '1. Halbjahr'!B12, "")</f>
        <v/>
      </c>
      <c r="C27" s="276"/>
      <c r="D27" s="257"/>
      <c r="E27" s="257"/>
      <c r="F27" s="257"/>
      <c r="G27" s="257"/>
      <c r="H27" s="257"/>
      <c r="I27" s="257"/>
      <c r="J27" s="277" t="str">
        <f>IF(OR(B27="",COUNT(C27:I27)=0),"",SUM(C27:I27))</f>
        <v/>
      </c>
      <c r="K27" s="260"/>
      <c r="L27" s="261"/>
      <c r="M27" s="260"/>
      <c r="N27" s="257"/>
      <c r="O27" s="261"/>
      <c r="P27" s="262" t="str">
        <f>IF(OR(B27="",COUNT(K27:O27)=0),"",SUM(K27:O27))</f>
        <v/>
      </c>
      <c r="Q27" s="263" t="str">
        <f>IF(OR(B27="",COUNT(C27:I27)+COUNT(K27:O27)=0),"",ROUND(SUM(P27,J27),0))</f>
        <v/>
      </c>
      <c r="R27" s="264" t="str">
        <f ca="1">IF(Q27="","",IF(AP!$E$42="BE",INDIRECT("AP!P"&amp;MATCH(100*Q27/AP!$E$44,AP!$Q$4:$Q$20,-1)+4),Q27))</f>
        <v/>
      </c>
      <c r="S27" s="540"/>
      <c r="T27" s="542"/>
      <c r="U27" s="552"/>
      <c r="V27" s="554" t="str">
        <f>IF(B27="","",SUM(S27:U27))</f>
        <v/>
      </c>
      <c r="W27" s="556" t="str">
        <f>IF(B27="","",IF(ISBLANK(S27),"",IF(AVERAGE(S27:U27)&lt;10,LEFT(AVERAGE(S27:U27),4),LEFT(AVERAGE(S27:U27),5))))</f>
        <v/>
      </c>
      <c r="X27" s="558" t="str">
        <f>IF(B27="","",IF(W27="","",IF(LEFT(W27,1)="0",0,ROUND(W27,0))))</f>
        <v/>
      </c>
      <c r="Y27" s="265" t="str">
        <f>IF(B27="","",ROUNDUP(AVERAGE(R27,R27,X27),2))</f>
        <v/>
      </c>
      <c r="Z27" s="266" t="str">
        <f>IF(B27="","",IF(TRUNC(Y27,0)=0,0,ROUND(Y27,0)))</f>
        <v/>
      </c>
    </row>
    <row r="28" spans="1:26" ht="13.5" customHeight="1" thickBot="1" x14ac:dyDescent="0.25">
      <c r="A28" s="539"/>
      <c r="B28" s="539"/>
      <c r="C28" s="279"/>
      <c r="D28" s="268"/>
      <c r="E28" s="268"/>
      <c r="F28" s="268"/>
      <c r="G28" s="268"/>
      <c r="H28" s="268"/>
      <c r="I28" s="268"/>
      <c r="J28" s="280" t="str">
        <f>IF(OR(B27="",COUNT(C28:I28)=0),"",SUM(C28:I28))</f>
        <v/>
      </c>
      <c r="K28" s="268"/>
      <c r="L28" s="268"/>
      <c r="M28" s="281"/>
      <c r="N28" s="268"/>
      <c r="O28" s="282"/>
      <c r="P28" s="280" t="str">
        <f>IF(OR(B27="",COUNT(K28:O28)=0),"",SUM(K28:O28))</f>
        <v/>
      </c>
      <c r="Q28" s="273" t="str">
        <f>IF(OR(B27="",COUNT(C28:I28)+COUNT(K28:O28)=0),"",ROUND(SUM(P28,J28),0))</f>
        <v/>
      </c>
      <c r="R28" s="344" t="str">
        <f ca="1">IF(Q28="","",IF(AP!$E$42="BE",INDIRECT("AP!P"&amp;MATCH(100*Q28/AP!$E$44,AP!$Q$4:$Q$20,-1)+4),Q28))</f>
        <v/>
      </c>
      <c r="S28" s="541"/>
      <c r="T28" s="543"/>
      <c r="U28" s="553"/>
      <c r="V28" s="555"/>
      <c r="W28" s="557"/>
      <c r="X28" s="559"/>
      <c r="Y28" s="274" t="str">
        <f>IF(B27="","",ROUNDUP(AVERAGE(R28,R28,X27),2))</f>
        <v/>
      </c>
      <c r="Z28" s="275" t="str">
        <f>IF(B27="","",IF(TRUNC(Y28,0)=0,0,ROUND(Y28,0)))</f>
        <v/>
      </c>
    </row>
    <row r="29" spans="1:26" ht="12.75" customHeight="1" x14ac:dyDescent="0.2">
      <c r="A29" s="538">
        <v>10</v>
      </c>
      <c r="B29" s="538" t="str">
        <f>IF('1. Halbjahr'!B13&lt;&gt;"", '1. Halbjahr'!B13, "")</f>
        <v/>
      </c>
      <c r="C29" s="276"/>
      <c r="D29" s="257"/>
      <c r="E29" s="257"/>
      <c r="F29" s="257"/>
      <c r="G29" s="257"/>
      <c r="H29" s="257"/>
      <c r="I29" s="257"/>
      <c r="J29" s="277" t="str">
        <f>IF(OR(B29="",COUNT(C29:I29)=0),"",SUM(C29:I29))</f>
        <v/>
      </c>
      <c r="K29" s="260"/>
      <c r="L29" s="261"/>
      <c r="M29" s="260"/>
      <c r="N29" s="257"/>
      <c r="O29" s="261"/>
      <c r="P29" s="262" t="str">
        <f>IF(OR(B29="",COUNT(K29:O29)=0),"",SUM(K29:O29))</f>
        <v/>
      </c>
      <c r="Q29" s="263" t="str">
        <f>IF(OR(B29="",COUNT(C29:I29)+COUNT(K29:O29)=0),"",ROUND(SUM(P29,J29),0))</f>
        <v/>
      </c>
      <c r="R29" s="266" t="str">
        <f ca="1">IF(Q29="","",IF(AP!$E$42="BE",INDIRECT("AP!P"&amp;MATCH(100*Q29/AP!$E$44,AP!$Q$4:$Q$20,-1)+4),Q29))</f>
        <v/>
      </c>
      <c r="S29" s="540"/>
      <c r="T29" s="542"/>
      <c r="U29" s="552"/>
      <c r="V29" s="554" t="str">
        <f>IF(B29="","",SUM(S29:U29))</f>
        <v/>
      </c>
      <c r="W29" s="556" t="str">
        <f>IF(B29="","",IF(ISBLANK(S29),"",IF(AVERAGE(S29:U29)&lt;10,LEFT(AVERAGE(S29:U29),4),LEFT(AVERAGE(S29:U29),5))))</f>
        <v/>
      </c>
      <c r="X29" s="558" t="str">
        <f>IF(B29="","",IF(W29="","",IF(LEFT(W29,1)="0",0,ROUND(W29,0))))</f>
        <v/>
      </c>
      <c r="Y29" s="265" t="str">
        <f>IF(B29="","",ROUNDUP(AVERAGE(R29,R29,X29),2))</f>
        <v/>
      </c>
      <c r="Z29" s="266" t="str">
        <f>IF(B29="","",IF(TRUNC(Y29,0)=0,0,ROUND(Y29,0)))</f>
        <v/>
      </c>
    </row>
    <row r="30" spans="1:26" ht="13.5" customHeight="1" thickBot="1" x14ac:dyDescent="0.25">
      <c r="A30" s="539"/>
      <c r="B30" s="539"/>
      <c r="C30" s="279"/>
      <c r="D30" s="268"/>
      <c r="E30" s="268"/>
      <c r="F30" s="268"/>
      <c r="G30" s="268"/>
      <c r="H30" s="268"/>
      <c r="I30" s="268"/>
      <c r="J30" s="280" t="str">
        <f>IF(OR(B29="",COUNT(C30:I30)=0),"",SUM(C30:I30))</f>
        <v/>
      </c>
      <c r="K30" s="268"/>
      <c r="L30" s="268"/>
      <c r="M30" s="281"/>
      <c r="N30" s="268"/>
      <c r="O30" s="282"/>
      <c r="P30" s="280" t="str">
        <f>IF(OR(B29="",COUNT(K30:O30)=0),"",SUM(K30:O30))</f>
        <v/>
      </c>
      <c r="Q30" s="273" t="str">
        <f>IF(OR(B29="",COUNT(C30:I30)+COUNT(K30:O30)=0),"",ROUND(SUM(P30,J30),0))</f>
        <v/>
      </c>
      <c r="R30" s="286" t="str">
        <f ca="1">IF(Q30="","",IF(AP!$E$42="BE",INDIRECT("AP!P"&amp;MATCH(100*Q30/AP!$E$44,AP!$Q$4:$Q$20,-1)+4),Q30))</f>
        <v/>
      </c>
      <c r="S30" s="541"/>
      <c r="T30" s="543"/>
      <c r="U30" s="553"/>
      <c r="V30" s="555"/>
      <c r="W30" s="557"/>
      <c r="X30" s="559"/>
      <c r="Y30" s="274" t="str">
        <f>IF(B29="","",ROUNDUP(AVERAGE(R30,R30,X29),2))</f>
        <v/>
      </c>
      <c r="Z30" s="275" t="str">
        <f>IF(B29="","",IF(TRUNC(Y30,0)=0,0,ROUND(Y30,0)))</f>
        <v/>
      </c>
    </row>
    <row r="31" spans="1:26" ht="12.75" customHeight="1" x14ac:dyDescent="0.2">
      <c r="A31" s="538">
        <v>11</v>
      </c>
      <c r="B31" s="538" t="str">
        <f>IF('1. Halbjahr'!B14&lt;&gt;"", '1. Halbjahr'!B14, "")</f>
        <v/>
      </c>
      <c r="C31" s="276"/>
      <c r="D31" s="257"/>
      <c r="E31" s="257"/>
      <c r="F31" s="257"/>
      <c r="G31" s="257"/>
      <c r="H31" s="257"/>
      <c r="I31" s="257"/>
      <c r="J31" s="277" t="str">
        <f>IF(OR(B31="",COUNT(C31:I31)=0),"",SUM(C31:I31))</f>
        <v/>
      </c>
      <c r="K31" s="260"/>
      <c r="L31" s="261"/>
      <c r="M31" s="260"/>
      <c r="N31" s="257"/>
      <c r="O31" s="261"/>
      <c r="P31" s="262" t="str">
        <f>IF(OR(B31="",COUNT(K31:O31)=0),"",SUM(K31:O31))</f>
        <v/>
      </c>
      <c r="Q31" s="263" t="str">
        <f>IF(OR(B31="",COUNT(C31:I31)+COUNT(K31:O31)=0),"",ROUND(SUM(P31,J31),0))</f>
        <v/>
      </c>
      <c r="R31" s="264" t="str">
        <f ca="1">IF(Q31="","",IF(AP!$E$42="BE",INDIRECT("AP!P"&amp;MATCH(100*Q31/AP!$E$44,AP!$Q$4:$Q$20,-1)+4),Q31))</f>
        <v/>
      </c>
      <c r="S31" s="540"/>
      <c r="T31" s="542"/>
      <c r="U31" s="552"/>
      <c r="V31" s="554" t="str">
        <f>IF(B31="","",SUM(S31:U31))</f>
        <v/>
      </c>
      <c r="W31" s="556" t="str">
        <f>IF(B31="","",IF(ISBLANK(S31),"",IF(AVERAGE(S31:U31)&lt;10,LEFT(AVERAGE(S31:U31),4),LEFT(AVERAGE(S31:U31),5))))</f>
        <v/>
      </c>
      <c r="X31" s="558" t="str">
        <f>IF(B31="","",IF(W31="","",IF(LEFT(W31,1)="0",0,ROUND(W31,0))))</f>
        <v/>
      </c>
      <c r="Y31" s="265" t="str">
        <f>IF(B31="","",ROUNDUP(AVERAGE(R31,R31,X31),2))</f>
        <v/>
      </c>
      <c r="Z31" s="266" t="str">
        <f>IF(B31="","",IF(TRUNC(Y31,0)=0,0,ROUND(Y31,0)))</f>
        <v/>
      </c>
    </row>
    <row r="32" spans="1:26" ht="13.5" customHeight="1" thickBot="1" x14ac:dyDescent="0.25">
      <c r="A32" s="539"/>
      <c r="B32" s="539"/>
      <c r="C32" s="279"/>
      <c r="D32" s="268"/>
      <c r="E32" s="268"/>
      <c r="F32" s="268"/>
      <c r="G32" s="268"/>
      <c r="H32" s="268"/>
      <c r="I32" s="268"/>
      <c r="J32" s="280" t="str">
        <f>IF(OR(B31="",COUNT(C32:I32)=0),"",SUM(C32:I32))</f>
        <v/>
      </c>
      <c r="K32" s="268"/>
      <c r="L32" s="268"/>
      <c r="M32" s="281"/>
      <c r="N32" s="268"/>
      <c r="O32" s="282"/>
      <c r="P32" s="280" t="str">
        <f>IF(OR(B31="",COUNT(K32:O32)=0),"",SUM(K32:O32))</f>
        <v/>
      </c>
      <c r="Q32" s="273" t="str">
        <f>IF(OR(B31="",COUNT(C32:I32)+COUNT(K32:O32)=0),"",ROUND(SUM(P32,J32),0))</f>
        <v/>
      </c>
      <c r="R32" s="344" t="str">
        <f ca="1">IF(Q32="","",IF(AP!$E$42="BE",INDIRECT("AP!P"&amp;MATCH(100*Q32/AP!$E$44,AP!$Q$4:$Q$20,-1)+4),Q32))</f>
        <v/>
      </c>
      <c r="S32" s="541"/>
      <c r="T32" s="543"/>
      <c r="U32" s="553"/>
      <c r="V32" s="555"/>
      <c r="W32" s="557"/>
      <c r="X32" s="559"/>
      <c r="Y32" s="274" t="str">
        <f>IF(B31="","",ROUNDUP(AVERAGE(R32,R32,X31),2))</f>
        <v/>
      </c>
      <c r="Z32" s="275" t="str">
        <f>IF(B31="","",IF(TRUNC(Y32,0)=0,0,ROUND(Y32,0)))</f>
        <v/>
      </c>
    </row>
    <row r="33" spans="1:26" ht="12.75" customHeight="1" x14ac:dyDescent="0.2">
      <c r="A33" s="538">
        <v>12</v>
      </c>
      <c r="B33" s="538" t="str">
        <f>IF('1. Halbjahr'!B15&lt;&gt;"", '1. Halbjahr'!B15, "")</f>
        <v/>
      </c>
      <c r="C33" s="276"/>
      <c r="D33" s="257"/>
      <c r="E33" s="257"/>
      <c r="F33" s="257"/>
      <c r="G33" s="257"/>
      <c r="H33" s="257"/>
      <c r="I33" s="257"/>
      <c r="J33" s="277" t="str">
        <f>IF(OR(B33="",COUNT(C33:I33)=0),"",SUM(C33:I33))</f>
        <v/>
      </c>
      <c r="K33" s="260"/>
      <c r="L33" s="261"/>
      <c r="M33" s="260"/>
      <c r="N33" s="257"/>
      <c r="O33" s="261"/>
      <c r="P33" s="262" t="str">
        <f>IF(OR(B33="",COUNT(K33:O33)=0),"",SUM(K33:O33))</f>
        <v/>
      </c>
      <c r="Q33" s="263" t="str">
        <f>IF(OR(B33="",COUNT(C33:I33)+COUNT(K33:O33)=0),"",ROUND(SUM(P33,J33),0))</f>
        <v/>
      </c>
      <c r="R33" s="266" t="str">
        <f ca="1">IF(Q33="","",IF(AP!$E$42="BE",INDIRECT("AP!P"&amp;MATCH(100*Q33/AP!$E$44,AP!$Q$4:$Q$20,-1)+4),Q33))</f>
        <v/>
      </c>
      <c r="S33" s="540"/>
      <c r="T33" s="542"/>
      <c r="U33" s="552"/>
      <c r="V33" s="554" t="str">
        <f>IF(B33="","",SUM(S33:U33))</f>
        <v/>
      </c>
      <c r="W33" s="556" t="str">
        <f>IF(B33="","",IF(ISBLANK(S33),"",IF(AVERAGE(S33:U33)&lt;10,LEFT(AVERAGE(S33:U33),4),LEFT(AVERAGE(S33:U33),5))))</f>
        <v/>
      </c>
      <c r="X33" s="558" t="str">
        <f>IF(B33="","",IF(W33="","",IF(LEFT(W33,1)="0",0,ROUND(W33,0))))</f>
        <v/>
      </c>
      <c r="Y33" s="265" t="str">
        <f>IF(B33="","",ROUNDUP(AVERAGE(R33,R33,X33),2))</f>
        <v/>
      </c>
      <c r="Z33" s="266" t="str">
        <f>IF(B33="","",IF(TRUNC(Y33,0)=0,0,ROUND(Y33,0)))</f>
        <v/>
      </c>
    </row>
    <row r="34" spans="1:26" ht="13.5" customHeight="1" thickBot="1" x14ac:dyDescent="0.25">
      <c r="A34" s="539"/>
      <c r="B34" s="539"/>
      <c r="C34" s="279"/>
      <c r="D34" s="268"/>
      <c r="E34" s="268"/>
      <c r="F34" s="268"/>
      <c r="G34" s="268"/>
      <c r="H34" s="268"/>
      <c r="I34" s="268"/>
      <c r="J34" s="280" t="str">
        <f>IF(OR(B33="",COUNT(C34:I34)=0),"",SUM(C34:I34))</f>
        <v/>
      </c>
      <c r="K34" s="268"/>
      <c r="L34" s="268"/>
      <c r="M34" s="281"/>
      <c r="N34" s="268"/>
      <c r="O34" s="282"/>
      <c r="P34" s="280" t="str">
        <f>IF(OR(B33="",COUNT(K34:O34)=0),"",SUM(K34:O34))</f>
        <v/>
      </c>
      <c r="Q34" s="273" t="str">
        <f>IF(OR(B33="",COUNT(C34:I34)+COUNT(K34:O34)=0),"",ROUND(SUM(P34,J34),0))</f>
        <v/>
      </c>
      <c r="R34" s="344" t="str">
        <f ca="1">IF(Q34="","",IF(AP!$E$42="BE",INDIRECT("AP!P"&amp;MATCH(100*Q34/AP!$E$44,AP!$Q$4:$Q$20,-1)+4),Q34))</f>
        <v/>
      </c>
      <c r="S34" s="541"/>
      <c r="T34" s="543"/>
      <c r="U34" s="553"/>
      <c r="V34" s="555"/>
      <c r="W34" s="557"/>
      <c r="X34" s="559"/>
      <c r="Y34" s="274" t="str">
        <f>IF(B33="","",ROUNDUP(AVERAGE(R34,R34,X33),2))</f>
        <v/>
      </c>
      <c r="Z34" s="275" t="str">
        <f>IF(B33="","",IF(TRUNC(Y34,0)=0,0,ROUND(Y34,0)))</f>
        <v/>
      </c>
    </row>
    <row r="35" spans="1:26" ht="12.75" customHeight="1" x14ac:dyDescent="0.2">
      <c r="A35" s="538">
        <v>13</v>
      </c>
      <c r="B35" s="538" t="str">
        <f>IF('1. Halbjahr'!B16&lt;&gt;"", '1. Halbjahr'!B16, "")</f>
        <v/>
      </c>
      <c r="C35" s="276"/>
      <c r="D35" s="257"/>
      <c r="E35" s="257"/>
      <c r="F35" s="257"/>
      <c r="G35" s="257"/>
      <c r="H35" s="257"/>
      <c r="I35" s="257"/>
      <c r="J35" s="259" t="str">
        <f>IF(OR(B35="",COUNT(C35:I35)=0),"",SUM(C35:I35))</f>
        <v/>
      </c>
      <c r="K35" s="260"/>
      <c r="L35" s="261"/>
      <c r="M35" s="260"/>
      <c r="N35" s="257"/>
      <c r="O35" s="261"/>
      <c r="P35" s="262" t="str">
        <f>IF(OR(B35="",COUNT(K35:O35)=0),"",SUM(K35:O35))</f>
        <v/>
      </c>
      <c r="Q35" s="263" t="str">
        <f>IF(OR(B35="",COUNT(C35:I35)+COUNT(K35:O35)=0),"",ROUND(SUM(P35,J35),0))</f>
        <v/>
      </c>
      <c r="R35" s="266" t="str">
        <f ca="1">IF(Q35="","",IF(AP!$E$42="BE",INDIRECT("AP!P"&amp;MATCH(100*Q35/AP!$E$44,AP!$Q$4:$Q$20,-1)+4),Q35))</f>
        <v/>
      </c>
      <c r="S35" s="540"/>
      <c r="T35" s="542"/>
      <c r="U35" s="552"/>
      <c r="V35" s="554" t="str">
        <f>IF(B35="","",SUM(S35:U35))</f>
        <v/>
      </c>
      <c r="W35" s="556" t="str">
        <f>IF(B35="","",IF(ISBLANK(S35),"",IF(AVERAGE(S35:U35)&lt;10,LEFT(AVERAGE(S35:U35),4),LEFT(AVERAGE(S35:U35),5))))</f>
        <v/>
      </c>
      <c r="X35" s="558" t="str">
        <f>IF(B35="","",IF(W35="","",IF(LEFT(W35,1)="0",0,ROUND(W35,0))))</f>
        <v/>
      </c>
      <c r="Y35" s="265" t="str">
        <f>IF(B35="","",ROUNDUP(AVERAGE(R35,R35,X35),2))</f>
        <v/>
      </c>
      <c r="Z35" s="266" t="str">
        <f>IF(B35="","",IF(TRUNC(Y35,0)=0,0,ROUND(Y35,0)))</f>
        <v/>
      </c>
    </row>
    <row r="36" spans="1:26" ht="13.5" customHeight="1" thickBot="1" x14ac:dyDescent="0.25">
      <c r="A36" s="539"/>
      <c r="B36" s="539"/>
      <c r="C36" s="279"/>
      <c r="D36" s="268"/>
      <c r="E36" s="268"/>
      <c r="F36" s="268"/>
      <c r="G36" s="268"/>
      <c r="H36" s="268"/>
      <c r="I36" s="268"/>
      <c r="J36" s="283" t="str">
        <f>IF(OR(B35="",COUNT(C36:I36)=0),"",SUM(C36:I36))</f>
        <v/>
      </c>
      <c r="K36" s="268"/>
      <c r="L36" s="268"/>
      <c r="M36" s="281"/>
      <c r="N36" s="268"/>
      <c r="O36" s="282"/>
      <c r="P36" s="280" t="str">
        <f>IF(OR(B35="",COUNT(K36:O36)=0),"",SUM(K36:O36))</f>
        <v/>
      </c>
      <c r="Q36" s="273" t="str">
        <f>IF(OR(B35="",COUNT(C36:I36)+COUNT(K36:O36)=0),"",ROUND(SUM(P36,J36),0))</f>
        <v/>
      </c>
      <c r="R36" s="344" t="str">
        <f ca="1">IF(Q36="","",IF(AP!$E$42="BE",INDIRECT("AP!P"&amp;MATCH(100*Q36/AP!$E$44,AP!$Q$4:$Q$20,-1)+4),Q36))</f>
        <v/>
      </c>
      <c r="S36" s="541"/>
      <c r="T36" s="543"/>
      <c r="U36" s="553"/>
      <c r="V36" s="555"/>
      <c r="W36" s="557"/>
      <c r="X36" s="559"/>
      <c r="Y36" s="274" t="str">
        <f>IF(B35="","",ROUNDUP(AVERAGE(R36,R36,X35),2))</f>
        <v/>
      </c>
      <c r="Z36" s="275" t="str">
        <f>IF(B35="","",IF(TRUNC(Y36,0)=0,0,ROUND(Y36,0)))</f>
        <v/>
      </c>
    </row>
    <row r="37" spans="1:26" ht="12.75" customHeight="1" x14ac:dyDescent="0.2">
      <c r="A37" s="538">
        <v>14</v>
      </c>
      <c r="B37" s="538" t="str">
        <f>IF('1. Halbjahr'!B17&lt;&gt;"", '1. Halbjahr'!B17, "")</f>
        <v/>
      </c>
      <c r="C37" s="276"/>
      <c r="D37" s="257"/>
      <c r="E37" s="257"/>
      <c r="F37" s="257"/>
      <c r="G37" s="257"/>
      <c r="H37" s="257"/>
      <c r="I37" s="257"/>
      <c r="J37" s="277" t="str">
        <f>IF(OR(B37="",COUNT(C37:I37)=0),"",SUM(C37:I37))</f>
        <v/>
      </c>
      <c r="K37" s="260"/>
      <c r="L37" s="261"/>
      <c r="M37" s="260"/>
      <c r="N37" s="257"/>
      <c r="O37" s="261"/>
      <c r="P37" s="262" t="str">
        <f>IF(OR(B37="",COUNT(K37:O37)=0),"",SUM(K37:O37))</f>
        <v/>
      </c>
      <c r="Q37" s="263" t="str">
        <f>IF(OR(B37="",COUNT(C37:I37)+COUNT(K37:O37)=0),"",ROUND(SUM(P37,J37),0))</f>
        <v/>
      </c>
      <c r="R37" s="266" t="str">
        <f ca="1">IF(Q37="","",IF(AP!$E$42="BE",INDIRECT("AP!P"&amp;MATCH(100*Q37/AP!$E$44,AP!$Q$4:$Q$20,-1)+4),Q37))</f>
        <v/>
      </c>
      <c r="S37" s="540"/>
      <c r="T37" s="542"/>
      <c r="U37" s="552"/>
      <c r="V37" s="554" t="str">
        <f>IF(B37="","",SUM(S37:U37))</f>
        <v/>
      </c>
      <c r="W37" s="556" t="str">
        <f>IF(B37="","",IF(ISBLANK(S37),"",IF(AVERAGE(S37:U37)&lt;10,LEFT(AVERAGE(S37:U37),4),LEFT(AVERAGE(S37:U37),5))))</f>
        <v/>
      </c>
      <c r="X37" s="558" t="str">
        <f>IF(B37="","",IF(W37="","",IF(LEFT(W37,1)="0",0,ROUND(W37,0))))</f>
        <v/>
      </c>
      <c r="Y37" s="265" t="str">
        <f>IF(B37="","",ROUNDUP(AVERAGE(R37,R37,X37),2))</f>
        <v/>
      </c>
      <c r="Z37" s="266" t="str">
        <f>IF(B37="","",IF(TRUNC(Y37,0)=0,0,ROUND(Y37,0)))</f>
        <v/>
      </c>
    </row>
    <row r="38" spans="1:26" ht="13.5" customHeight="1" thickBot="1" x14ac:dyDescent="0.25">
      <c r="A38" s="539"/>
      <c r="B38" s="539"/>
      <c r="C38" s="279"/>
      <c r="D38" s="268"/>
      <c r="E38" s="268"/>
      <c r="F38" s="268"/>
      <c r="G38" s="268"/>
      <c r="H38" s="268"/>
      <c r="I38" s="268"/>
      <c r="J38" s="280" t="str">
        <f>IF(OR(B37="",COUNT(C38:I38)=0),"",SUM(C38:I38))</f>
        <v/>
      </c>
      <c r="K38" s="268"/>
      <c r="L38" s="268"/>
      <c r="M38" s="281"/>
      <c r="N38" s="268"/>
      <c r="O38" s="282"/>
      <c r="P38" s="280" t="str">
        <f>IF(OR(B37="",COUNT(K38:O38)=0),"",SUM(K38:O38))</f>
        <v/>
      </c>
      <c r="Q38" s="273" t="str">
        <f>IF(OR(B37="",COUNT(C38:I38)+COUNT(K38:O38)=0),"",ROUND(SUM(P38,J38),0))</f>
        <v/>
      </c>
      <c r="R38" s="286" t="str">
        <f ca="1">IF(Q38="","",IF(AP!$E$42="BE",INDIRECT("AP!P"&amp;MATCH(100*Q38/AP!$E$44,AP!$Q$4:$Q$20,-1)+4),Q38))</f>
        <v/>
      </c>
      <c r="S38" s="541"/>
      <c r="T38" s="543"/>
      <c r="U38" s="553"/>
      <c r="V38" s="555"/>
      <c r="W38" s="557"/>
      <c r="X38" s="559"/>
      <c r="Y38" s="274" t="str">
        <f>IF(B37="","",ROUNDUP(AVERAGE(R38,R38,X37),2))</f>
        <v/>
      </c>
      <c r="Z38" s="275" t="str">
        <f>IF(B37="","",IF(TRUNC(Y38,0)=0,0,ROUND(Y38,0)))</f>
        <v/>
      </c>
    </row>
    <row r="39" spans="1:26" ht="12.75" customHeight="1" x14ac:dyDescent="0.2">
      <c r="A39" s="538">
        <v>15</v>
      </c>
      <c r="B39" s="538" t="str">
        <f>IF('1. Halbjahr'!B18&lt;&gt;"", '1. Halbjahr'!B18, "")</f>
        <v/>
      </c>
      <c r="C39" s="276"/>
      <c r="D39" s="257"/>
      <c r="E39" s="257"/>
      <c r="F39" s="257"/>
      <c r="G39" s="257"/>
      <c r="H39" s="257"/>
      <c r="I39" s="257"/>
      <c r="J39" s="277" t="str">
        <f>IF(OR(B39="",COUNT(C39:I39)=0),"",SUM(C39:I39))</f>
        <v/>
      </c>
      <c r="K39" s="260"/>
      <c r="L39" s="261"/>
      <c r="M39" s="260"/>
      <c r="N39" s="257"/>
      <c r="O39" s="261"/>
      <c r="P39" s="262" t="str">
        <f>IF(OR(B39="",COUNT(K39:O39)=0),"",SUM(K39:O39))</f>
        <v/>
      </c>
      <c r="Q39" s="263" t="str">
        <f>IF(OR(B39="",COUNT(C39:I39)+COUNT(K39:O39)=0),"",ROUND(SUM(P39,J39),0))</f>
        <v/>
      </c>
      <c r="R39" s="264" t="str">
        <f ca="1">IF(Q39="","",IF(AP!$E$42="BE",INDIRECT("AP!P"&amp;MATCH(100*Q39/AP!$E$44,AP!$Q$4:$Q$20,-1)+4),Q39))</f>
        <v/>
      </c>
      <c r="S39" s="560"/>
      <c r="T39" s="561"/>
      <c r="U39" s="562"/>
      <c r="V39" s="563" t="str">
        <f>IF(B39="","",SUM(S39:U39))</f>
        <v/>
      </c>
      <c r="W39" s="556" t="str">
        <f>IF(B39="","",IF(ISBLANK(S39),"",IF(AVERAGE(S39:U39)&lt;10,LEFT(AVERAGE(S39:U39),4),LEFT(AVERAGE(S39:U39),5))))</f>
        <v/>
      </c>
      <c r="X39" s="558" t="str">
        <f>IF(B39="","",IF(W39="","",IF(LEFT(W39,1)="0",0,ROUND(W39,0))))</f>
        <v/>
      </c>
      <c r="Y39" s="265" t="str">
        <f>IF(B39="","",ROUNDUP(AVERAGE(R39,R39,X39),2))</f>
        <v/>
      </c>
      <c r="Z39" s="266" t="str">
        <f>IF(B39="","",IF(TRUNC(Y39,0)=0,0,ROUND(Y39,0)))</f>
        <v/>
      </c>
    </row>
    <row r="40" spans="1:26" ht="13.5" customHeight="1" thickBot="1" x14ac:dyDescent="0.25">
      <c r="A40" s="539"/>
      <c r="B40" s="539"/>
      <c r="C40" s="279"/>
      <c r="D40" s="268"/>
      <c r="E40" s="268"/>
      <c r="F40" s="268"/>
      <c r="G40" s="268"/>
      <c r="H40" s="268"/>
      <c r="I40" s="268"/>
      <c r="J40" s="280" t="str">
        <f>IF(OR(B39="",COUNT(C40:I40)=0),"",SUM(C40:I40))</f>
        <v/>
      </c>
      <c r="K40" s="268"/>
      <c r="L40" s="268"/>
      <c r="M40" s="281"/>
      <c r="N40" s="268"/>
      <c r="O40" s="282"/>
      <c r="P40" s="280" t="str">
        <f>IF(OR(B39="",COUNT(K40:O40)=0),"",SUM(K40:O40))</f>
        <v/>
      </c>
      <c r="Q40" s="273" t="str">
        <f>IF(OR(B39="",COUNT(C40:I40)+COUNT(K40:O40)=0),"",ROUND(SUM(P40,J40),0))</f>
        <v/>
      </c>
      <c r="R40" s="286" t="str">
        <f ca="1">IF(Q40="","",IF(AP!$E$42="BE",INDIRECT("AP!P"&amp;MATCH(100*Q40/AP!$E$44,AP!$Q$4:$Q$20,-1)+4),Q40))</f>
        <v/>
      </c>
      <c r="S40" s="541"/>
      <c r="T40" s="543"/>
      <c r="U40" s="553"/>
      <c r="V40" s="555"/>
      <c r="W40" s="557"/>
      <c r="X40" s="559"/>
      <c r="Y40" s="274" t="str">
        <f>IF(B39="","",ROUNDUP(AVERAGE(R40,R40,X39),2))</f>
        <v/>
      </c>
      <c r="Z40" s="275" t="str">
        <f>IF(B39="","",IF(TRUNC(Y40,0)=0,0,ROUND(Y40,0)))</f>
        <v/>
      </c>
    </row>
    <row r="41" spans="1:26" ht="12.75" customHeight="1" x14ac:dyDescent="0.2">
      <c r="A41" s="538">
        <v>16</v>
      </c>
      <c r="B41" s="538" t="str">
        <f>IF('1. Halbjahr'!B19&lt;&gt;"", '1. Halbjahr'!B19, "")</f>
        <v/>
      </c>
      <c r="C41" s="276"/>
      <c r="D41" s="257"/>
      <c r="E41" s="257"/>
      <c r="F41" s="257"/>
      <c r="G41" s="257"/>
      <c r="H41" s="257"/>
      <c r="I41" s="257"/>
      <c r="J41" s="277" t="str">
        <f>IF(OR(B41="",COUNT(C41:I41)=0),"",SUM(C41:I41))</f>
        <v/>
      </c>
      <c r="K41" s="260"/>
      <c r="L41" s="261"/>
      <c r="M41" s="260"/>
      <c r="N41" s="257"/>
      <c r="O41" s="261"/>
      <c r="P41" s="262" t="str">
        <f>IF(OR(B41="",COUNT(K41:O41)=0),"",SUM(K41:O41))</f>
        <v/>
      </c>
      <c r="Q41" s="263" t="str">
        <f>IF(OR(B41="",COUNT(C41:I41)+COUNT(K41:O41)=0),"",ROUND(SUM(P41,J41),0))</f>
        <v/>
      </c>
      <c r="R41" s="264" t="str">
        <f ca="1">IF(Q41="","",IF(AP!$E$42="BE",INDIRECT("AP!P"&amp;MATCH(100*Q41/AP!$E$44,AP!$Q$4:$Q$20,-1)+4),Q41))</f>
        <v/>
      </c>
      <c r="S41" s="540"/>
      <c r="T41" s="542"/>
      <c r="U41" s="552"/>
      <c r="V41" s="554" t="str">
        <f>IF(B41="","",SUM(S41:U41))</f>
        <v/>
      </c>
      <c r="W41" s="556" t="str">
        <f>IF(B41="","",IF(ISBLANK(S41),"",IF(AVERAGE(S41:U41)&lt;10,LEFT(AVERAGE(S41:U41),4),LEFT(AVERAGE(S41:U41),5))))</f>
        <v/>
      </c>
      <c r="X41" s="558" t="str">
        <f>IF(B41="","",IF(W41="","",IF(LEFT(W41,1)="0",0,ROUND(W41,0))))</f>
        <v/>
      </c>
      <c r="Y41" s="265" t="str">
        <f>IF(B41="","",ROUNDUP(AVERAGE(R41,R41,X41),2))</f>
        <v/>
      </c>
      <c r="Z41" s="266" t="str">
        <f>IF(B41="","",IF(TRUNC(Y41,0)=0,0,ROUND(Y41,0)))</f>
        <v/>
      </c>
    </row>
    <row r="42" spans="1:26" ht="13.5" customHeight="1" thickBot="1" x14ac:dyDescent="0.25">
      <c r="A42" s="539"/>
      <c r="B42" s="539"/>
      <c r="C42" s="279"/>
      <c r="D42" s="268"/>
      <c r="E42" s="268"/>
      <c r="F42" s="268"/>
      <c r="G42" s="268"/>
      <c r="H42" s="268"/>
      <c r="I42" s="268"/>
      <c r="J42" s="280" t="str">
        <f>IF(OR(B41="",COUNT(C42:I42)=0),"",SUM(C42:I42))</f>
        <v/>
      </c>
      <c r="K42" s="268"/>
      <c r="L42" s="268"/>
      <c r="M42" s="281"/>
      <c r="N42" s="268"/>
      <c r="O42" s="282"/>
      <c r="P42" s="280" t="str">
        <f>IF(OR(B41="",COUNT(K42:O42)=0),"",SUM(K42:O42))</f>
        <v/>
      </c>
      <c r="Q42" s="273" t="str">
        <f>IF(OR(B41="",COUNT(C42:I42)+COUNT(K42:O42)=0),"",ROUND(SUM(P42,J42),0))</f>
        <v/>
      </c>
      <c r="R42" s="344" t="str">
        <f ca="1">IF(Q42="","",IF(AP!$E$42="BE",INDIRECT("AP!P"&amp;MATCH(100*Q42/AP!$E$44,AP!$Q$4:$Q$20,-1)+4),Q42))</f>
        <v/>
      </c>
      <c r="S42" s="541"/>
      <c r="T42" s="543"/>
      <c r="U42" s="553"/>
      <c r="V42" s="555"/>
      <c r="W42" s="557"/>
      <c r="X42" s="559"/>
      <c r="Y42" s="274" t="str">
        <f>IF(B41="","",ROUNDUP(AVERAGE(R42,R42,X41),2))</f>
        <v/>
      </c>
      <c r="Z42" s="275" t="str">
        <f>IF(B41="","",IF(TRUNC(Y42,0)=0,0,ROUND(Y42,0)))</f>
        <v/>
      </c>
    </row>
    <row r="43" spans="1:26" ht="12.75" customHeight="1" x14ac:dyDescent="0.2">
      <c r="A43" s="538">
        <v>17</v>
      </c>
      <c r="B43" s="538" t="str">
        <f>IF('1. Halbjahr'!B20&lt;&gt;"", '1. Halbjahr'!B20, "")</f>
        <v/>
      </c>
      <c r="C43" s="276"/>
      <c r="D43" s="257"/>
      <c r="E43" s="257"/>
      <c r="F43" s="257"/>
      <c r="G43" s="257"/>
      <c r="H43" s="257"/>
      <c r="I43" s="257"/>
      <c r="J43" s="259" t="str">
        <f>IF(OR(B43="",COUNT(C43:I43)=0),"",SUM(C43:I43))</f>
        <v/>
      </c>
      <c r="K43" s="260"/>
      <c r="L43" s="261"/>
      <c r="M43" s="260"/>
      <c r="N43" s="257"/>
      <c r="O43" s="261"/>
      <c r="P43" s="262" t="str">
        <f>IF(OR(B43="",COUNT(K43:O43)=0),"",SUM(K43:O43))</f>
        <v/>
      </c>
      <c r="Q43" s="263" t="str">
        <f>IF(OR(B43="",COUNT(C43:I43)+COUNT(K43:O43)=0),"",ROUND(SUM(P43,J43),0))</f>
        <v/>
      </c>
      <c r="R43" s="266" t="str">
        <f ca="1">IF(Q43="","",IF(AP!$E$42="BE",INDIRECT("AP!P"&amp;MATCH(100*Q43/AP!$E$44,AP!$Q$4:$Q$20,-1)+4),Q43))</f>
        <v/>
      </c>
      <c r="S43" s="540"/>
      <c r="T43" s="542"/>
      <c r="U43" s="552"/>
      <c r="V43" s="554" t="str">
        <f>IF(B43="","",SUM(S43:U43))</f>
        <v/>
      </c>
      <c r="W43" s="556" t="str">
        <f>IF(B43="","",IF(ISBLANK(S43),"",IF(AVERAGE(S43:U43)&lt;10,LEFT(AVERAGE(S43:U43),4),LEFT(AVERAGE(S43:U43),5))))</f>
        <v/>
      </c>
      <c r="X43" s="558" t="str">
        <f>IF(B43="","",IF(W43="","",IF(LEFT(W43,1)="0",0,ROUND(W43,0))))</f>
        <v/>
      </c>
      <c r="Y43" s="265" t="str">
        <f>IF(B43="","",ROUNDUP(AVERAGE(R43,R43,X43),2))</f>
        <v/>
      </c>
      <c r="Z43" s="266" t="str">
        <f>IF(B43="","",IF(TRUNC(Y43,0)=0,0,ROUND(Y43,0)))</f>
        <v/>
      </c>
    </row>
    <row r="44" spans="1:26" ht="13.5" customHeight="1" thickBot="1" x14ac:dyDescent="0.25">
      <c r="A44" s="539"/>
      <c r="B44" s="539"/>
      <c r="C44" s="279"/>
      <c r="D44" s="268"/>
      <c r="E44" s="268"/>
      <c r="F44" s="268"/>
      <c r="G44" s="268"/>
      <c r="H44" s="268"/>
      <c r="I44" s="268"/>
      <c r="J44" s="283" t="str">
        <f>IF(OR(B43="",COUNT(C44:I44)=0),"",SUM(C44:I44))</f>
        <v/>
      </c>
      <c r="K44" s="268"/>
      <c r="L44" s="268"/>
      <c r="M44" s="281"/>
      <c r="N44" s="268"/>
      <c r="O44" s="282"/>
      <c r="P44" s="280" t="str">
        <f>IF(OR(B43="",COUNT(K44:O44)=0),"",SUM(K44:O44))</f>
        <v/>
      </c>
      <c r="Q44" s="273" t="str">
        <f>IF(OR(B43="",COUNT(C44:I44)+COUNT(K44:O44)=0),"",ROUND(SUM(P44,J44),0))</f>
        <v/>
      </c>
      <c r="R44" s="286" t="str">
        <f ca="1">IF(Q44="","",IF(AP!$E$42="BE",INDIRECT("AP!P"&amp;MATCH(100*Q44/AP!$E$44,AP!$Q$4:$Q$20,-1)+4),Q44))</f>
        <v/>
      </c>
      <c r="S44" s="541"/>
      <c r="T44" s="543"/>
      <c r="U44" s="553"/>
      <c r="V44" s="555"/>
      <c r="W44" s="557"/>
      <c r="X44" s="559"/>
      <c r="Y44" s="274" t="str">
        <f>IF(B43="","",ROUNDUP(AVERAGE(R44,R44,X43),2))</f>
        <v/>
      </c>
      <c r="Z44" s="275" t="str">
        <f>IF(B43="","",IF(TRUNC(Y44,0)=0,0,ROUND(Y44,0)))</f>
        <v/>
      </c>
    </row>
    <row r="45" spans="1:26" ht="12.75" customHeight="1" x14ac:dyDescent="0.2">
      <c r="A45" s="538">
        <v>18</v>
      </c>
      <c r="B45" s="538" t="str">
        <f>IF('1. Halbjahr'!B21&lt;&gt;"", '1. Halbjahr'!B21, "")</f>
        <v/>
      </c>
      <c r="C45" s="276"/>
      <c r="D45" s="257"/>
      <c r="E45" s="257"/>
      <c r="F45" s="257"/>
      <c r="G45" s="257"/>
      <c r="H45" s="257"/>
      <c r="I45" s="257"/>
      <c r="J45" s="277" t="str">
        <f>IF(OR(B45="",COUNT(C45:I45)=0),"",SUM(C45:I45))</f>
        <v/>
      </c>
      <c r="K45" s="260"/>
      <c r="L45" s="261"/>
      <c r="M45" s="260"/>
      <c r="N45" s="257"/>
      <c r="O45" s="261"/>
      <c r="P45" s="262" t="str">
        <f>IF(OR(B45="",COUNT(K45:O45)=0),"",SUM(K45:O45))</f>
        <v/>
      </c>
      <c r="Q45" s="263" t="str">
        <f>IF(OR(B45="",COUNT(C45:I45)+COUNT(K45:O45)=0),"",ROUND(SUM(P45,J45),0))</f>
        <v/>
      </c>
      <c r="R45" s="264" t="str">
        <f ca="1">IF(Q45="","",IF(AP!$E$42="BE",INDIRECT("AP!P"&amp;MATCH(100*Q45/AP!$E$44,AP!$Q$4:$Q$20,-1)+4),Q45))</f>
        <v/>
      </c>
      <c r="S45" s="540"/>
      <c r="T45" s="542"/>
      <c r="U45" s="552"/>
      <c r="V45" s="554" t="str">
        <f>IF(B45="","",SUM(S45:U45))</f>
        <v/>
      </c>
      <c r="W45" s="556" t="str">
        <f>IF(B45="","",IF(ISBLANK(S45),"",IF(AVERAGE(S45:U45)&lt;10,LEFT(AVERAGE(S45:U45),4),LEFT(AVERAGE(S45:U45),5))))</f>
        <v/>
      </c>
      <c r="X45" s="558" t="str">
        <f>IF(B45="","",IF(W45="","",IF(LEFT(W45,1)="0",0,ROUND(W45,0))))</f>
        <v/>
      </c>
      <c r="Y45" s="265" t="str">
        <f>IF(B45="","",ROUNDUP(AVERAGE(R45,R45,X45),2))</f>
        <v/>
      </c>
      <c r="Z45" s="266" t="str">
        <f>IF(B45="","",IF(TRUNC(Y45,0)=0,0,ROUND(Y45,0)))</f>
        <v/>
      </c>
    </row>
    <row r="46" spans="1:26" s="217" customFormat="1" ht="13.5" customHeight="1" thickBot="1" x14ac:dyDescent="0.25">
      <c r="A46" s="539"/>
      <c r="B46" s="539"/>
      <c r="C46" s="284"/>
      <c r="D46" s="285"/>
      <c r="E46" s="285"/>
      <c r="F46" s="285"/>
      <c r="G46" s="285"/>
      <c r="H46" s="285"/>
      <c r="I46" s="285"/>
      <c r="J46" s="280" t="str">
        <f>IF(OR(B45="",COUNT(C46:I46)=0),"",SUM(C46:I46))</f>
        <v/>
      </c>
      <c r="K46" s="285"/>
      <c r="L46" s="285"/>
      <c r="M46" s="270"/>
      <c r="N46" s="285"/>
      <c r="O46" s="271"/>
      <c r="P46" s="280" t="str">
        <f>IF(OR(B45="",COUNT(K46:O46)=0),"",SUM(K46:O46))</f>
        <v/>
      </c>
      <c r="Q46" s="273" t="str">
        <f>IF(OR(B45="",COUNT(C46:I46)+COUNT(K46:O46)=0),"",ROUND(SUM(P46,J46),0))</f>
        <v/>
      </c>
      <c r="R46" s="344" t="str">
        <f ca="1">IF(Q46="","",IF(AP!$E$42="BE",INDIRECT("AP!P"&amp;MATCH(100*Q46/AP!$E$44,AP!$Q$4:$Q$20,-1)+4),Q46))</f>
        <v/>
      </c>
      <c r="S46" s="541"/>
      <c r="T46" s="543"/>
      <c r="U46" s="553"/>
      <c r="V46" s="555"/>
      <c r="W46" s="557"/>
      <c r="X46" s="559"/>
      <c r="Y46" s="274" t="str">
        <f>IF(B45="","",ROUNDUP(AVERAGE(R46,R46,X45),2))</f>
        <v/>
      </c>
      <c r="Z46" s="286" t="str">
        <f>IF(B45="","",IF(TRUNC(Y46,0)=0,0,ROUND(Y46,0)))</f>
        <v/>
      </c>
    </row>
    <row r="47" spans="1:26" ht="12.75" customHeight="1" x14ac:dyDescent="0.2">
      <c r="A47" s="538">
        <v>19</v>
      </c>
      <c r="B47" s="538" t="str">
        <f>IF('1. Halbjahr'!B22&lt;&gt;"", '1. Halbjahr'!B22, "")</f>
        <v/>
      </c>
      <c r="C47" s="276"/>
      <c r="D47" s="257"/>
      <c r="E47" s="257"/>
      <c r="F47" s="257"/>
      <c r="G47" s="257"/>
      <c r="H47" s="257"/>
      <c r="I47" s="257"/>
      <c r="J47" s="277" t="str">
        <f>IF(OR(B47="",COUNT(C47:I47)=0),"",SUM(C47:I47))</f>
        <v/>
      </c>
      <c r="K47" s="260"/>
      <c r="L47" s="261"/>
      <c r="M47" s="260"/>
      <c r="N47" s="257"/>
      <c r="O47" s="261"/>
      <c r="P47" s="262" t="str">
        <f>IF(OR(B47="",COUNT(K47:O47)=0),"",SUM(K47:O47))</f>
        <v/>
      </c>
      <c r="Q47" s="263" t="str">
        <f>IF(OR(B47="",COUNT(C47:I47)+COUNT(K47:O47)=0),"",ROUND(SUM(P47,J47),0))</f>
        <v/>
      </c>
      <c r="R47" s="266" t="str">
        <f ca="1">IF(Q47="","",IF(AP!$E$42="BE",INDIRECT("AP!P"&amp;MATCH(100*Q47/AP!$E$44,AP!$Q$4:$Q$20,-1)+4),Q47))</f>
        <v/>
      </c>
      <c r="S47" s="540"/>
      <c r="T47" s="542"/>
      <c r="U47" s="552"/>
      <c r="V47" s="554" t="str">
        <f>IF(B47="","",SUM(S47:U47))</f>
        <v/>
      </c>
      <c r="W47" s="556" t="str">
        <f>IF(B47="","",IF(ISBLANK(S47),"",IF(AVERAGE(S47:U47)&lt;10,LEFT(AVERAGE(S47:U47),4),LEFT(AVERAGE(S47:U47),5))))</f>
        <v/>
      </c>
      <c r="X47" s="558" t="str">
        <f>IF(B47="","",IF(W47="","",IF(LEFT(W47,1)="0",0,ROUND(W47,0))))</f>
        <v/>
      </c>
      <c r="Y47" s="265" t="str">
        <f>IF(B47="","",ROUNDUP(AVERAGE(R47,R47,X47),2))</f>
        <v/>
      </c>
      <c r="Z47" s="266" t="str">
        <f>IF(B47="","",IF(TRUNC(Y47,0)=0,0,ROUND(Y47,0)))</f>
        <v/>
      </c>
    </row>
    <row r="48" spans="1:26" ht="13.5" customHeight="1" thickBot="1" x14ac:dyDescent="0.25">
      <c r="A48" s="539"/>
      <c r="B48" s="539"/>
      <c r="C48" s="279"/>
      <c r="D48" s="268"/>
      <c r="E48" s="268"/>
      <c r="F48" s="268"/>
      <c r="G48" s="268"/>
      <c r="H48" s="268"/>
      <c r="I48" s="268"/>
      <c r="J48" s="280" t="str">
        <f>IF(OR(B47="",COUNT(C48:I48)=0),"",SUM(C48:I48))</f>
        <v/>
      </c>
      <c r="K48" s="268"/>
      <c r="L48" s="268"/>
      <c r="M48" s="281"/>
      <c r="N48" s="268"/>
      <c r="O48" s="282"/>
      <c r="P48" s="280" t="str">
        <f>IF(OR(B47="",COUNT(K48:O48)=0),"",SUM(K48:O48))</f>
        <v/>
      </c>
      <c r="Q48" s="273" t="str">
        <f>IF(OR(B47="",COUNT(C48:I48)+COUNT(K48:O48)=0),"",ROUND(SUM(P48,J48),0))</f>
        <v/>
      </c>
      <c r="R48" s="344" t="str">
        <f ca="1">IF(Q48="","",IF(AP!$E$42="BE",INDIRECT("AP!P"&amp;MATCH(100*Q48/AP!$E$44,AP!$Q$4:$Q$20,-1)+4),Q48))</f>
        <v/>
      </c>
      <c r="S48" s="541"/>
      <c r="T48" s="543"/>
      <c r="U48" s="553"/>
      <c r="V48" s="555"/>
      <c r="W48" s="557"/>
      <c r="X48" s="559"/>
      <c r="Y48" s="274" t="str">
        <f>IF(B47="","",ROUNDUP(AVERAGE(R48,R48,X47),2))</f>
        <v/>
      </c>
      <c r="Z48" s="275" t="str">
        <f>IF(B47="","",IF(TRUNC(Y48,0)=0,0,ROUND(Y48,0)))</f>
        <v/>
      </c>
    </row>
    <row r="49" spans="1:26" ht="12.75" customHeight="1" x14ac:dyDescent="0.2">
      <c r="A49" s="538">
        <v>20</v>
      </c>
      <c r="B49" s="538" t="str">
        <f>IF('1. Halbjahr'!B23&lt;&gt;"", '1. Halbjahr'!B23, "")</f>
        <v/>
      </c>
      <c r="C49" s="276"/>
      <c r="D49" s="257"/>
      <c r="E49" s="257"/>
      <c r="F49" s="257"/>
      <c r="G49" s="257"/>
      <c r="H49" s="257"/>
      <c r="I49" s="257"/>
      <c r="J49" s="277" t="str">
        <f>IF(OR(B49="",COUNT(C49:I49)=0),"",SUM(C49:I49))</f>
        <v/>
      </c>
      <c r="K49" s="260"/>
      <c r="L49" s="261"/>
      <c r="M49" s="260"/>
      <c r="N49" s="257"/>
      <c r="O49" s="261"/>
      <c r="P49" s="262" t="str">
        <f>IF(OR(B49="",COUNT(K49:O49)=0),"",SUM(K49:O49))</f>
        <v/>
      </c>
      <c r="Q49" s="263" t="str">
        <f>IF(OR(B49="",COUNT(C49:I49)+COUNT(K49:O49)=0),"",ROUND(SUM(P49,J49),0))</f>
        <v/>
      </c>
      <c r="R49" s="266" t="str">
        <f ca="1">IF(Q49="","",IF(AP!$E$42="BE",INDIRECT("AP!P"&amp;MATCH(100*Q49/AP!$E$44,AP!$Q$4:$Q$20,-1)+4),Q49))</f>
        <v/>
      </c>
      <c r="S49" s="540"/>
      <c r="T49" s="542"/>
      <c r="U49" s="552"/>
      <c r="V49" s="554" t="str">
        <f>IF(B49="","",SUM(S49:U49))</f>
        <v/>
      </c>
      <c r="W49" s="556" t="str">
        <f>IF(B49="","",IF(ISBLANK(S49),"",IF(AVERAGE(S49:U49)&lt;10,LEFT(AVERAGE(S49:U49),4),LEFT(AVERAGE(S49:U49),5))))</f>
        <v/>
      </c>
      <c r="X49" s="558" t="str">
        <f>IF(B49="","",IF(W49="","",IF(LEFT(W49,1)="0",0,ROUND(W49,0))))</f>
        <v/>
      </c>
      <c r="Y49" s="265" t="str">
        <f>IF(B49="","",ROUNDUP(AVERAGE(R49,R49,X49),2))</f>
        <v/>
      </c>
      <c r="Z49" s="266" t="str">
        <f>IF(B49="","",IF(TRUNC(Y49,0)=0,0,ROUND(Y49,0)))</f>
        <v/>
      </c>
    </row>
    <row r="50" spans="1:26" ht="13.5" customHeight="1" thickBot="1" x14ac:dyDescent="0.25">
      <c r="A50" s="539"/>
      <c r="B50" s="539"/>
      <c r="C50" s="279"/>
      <c r="D50" s="268"/>
      <c r="E50" s="268"/>
      <c r="F50" s="268"/>
      <c r="G50" s="268"/>
      <c r="H50" s="268"/>
      <c r="I50" s="268"/>
      <c r="J50" s="280" t="str">
        <f>IF(OR(B49="",COUNT(C50:I50)=0),"",SUM(C50:I50))</f>
        <v/>
      </c>
      <c r="K50" s="268"/>
      <c r="L50" s="268"/>
      <c r="M50" s="281"/>
      <c r="N50" s="268"/>
      <c r="O50" s="282"/>
      <c r="P50" s="280" t="str">
        <f>IF(OR(B49="",COUNT(K50:O50)=0),"",SUM(K50:O50))</f>
        <v/>
      </c>
      <c r="Q50" s="273" t="str">
        <f>IF(OR(B49="",COUNT(C50:I50)+COUNT(K50:O50)=0),"",ROUND(SUM(P50,J50),0))</f>
        <v/>
      </c>
      <c r="R50" s="286" t="str">
        <f ca="1">IF(Q50="","",IF(AP!$E$42="BE",INDIRECT("AP!P"&amp;MATCH(100*Q50/AP!$E$44,AP!$Q$4:$Q$20,-1)+4),Q50))</f>
        <v/>
      </c>
      <c r="S50" s="541"/>
      <c r="T50" s="543"/>
      <c r="U50" s="553"/>
      <c r="V50" s="555"/>
      <c r="W50" s="557"/>
      <c r="X50" s="559"/>
      <c r="Y50" s="274" t="str">
        <f>IF(B49="","",ROUNDUP(AVERAGE(R50,R50,X49),2))</f>
        <v/>
      </c>
      <c r="Z50" s="275" t="str">
        <f>IF(B49="","",IF(TRUNC(Y50,0)=0,0,ROUND(Y50,0)))</f>
        <v/>
      </c>
    </row>
    <row r="51" spans="1:26" ht="12.75" customHeight="1" x14ac:dyDescent="0.2">
      <c r="A51" s="538">
        <v>21</v>
      </c>
      <c r="B51" s="538" t="str">
        <f>IF('1. Halbjahr'!B24&lt;&gt;"", '1. Halbjahr'!B24, "")</f>
        <v/>
      </c>
      <c r="C51" s="276"/>
      <c r="D51" s="257"/>
      <c r="E51" s="257"/>
      <c r="F51" s="257"/>
      <c r="G51" s="257"/>
      <c r="H51" s="257"/>
      <c r="I51" s="257"/>
      <c r="J51" s="259" t="str">
        <f>IF(OR(B51="",COUNT(C51:I51)=0),"",SUM(C51:I51))</f>
        <v/>
      </c>
      <c r="K51" s="260"/>
      <c r="L51" s="261"/>
      <c r="M51" s="260"/>
      <c r="N51" s="257"/>
      <c r="O51" s="261"/>
      <c r="P51" s="262" t="str">
        <f>IF(OR(B51="",COUNT(K51:O51)=0),"",SUM(K51:O51))</f>
        <v/>
      </c>
      <c r="Q51" s="263" t="str">
        <f>IF(OR(B51="",COUNT(C51:I51)+COUNT(K51:O51)=0),"",ROUND(SUM(P51,J51),0))</f>
        <v/>
      </c>
      <c r="R51" s="264" t="str">
        <f ca="1">IF(Q51="","",IF(AP!$E$42="BE",INDIRECT("AP!P"&amp;MATCH(100*Q51/AP!$E$44,AP!$Q$4:$Q$20,-1)+4),Q51))</f>
        <v/>
      </c>
      <c r="S51" s="540"/>
      <c r="T51" s="542"/>
      <c r="U51" s="552"/>
      <c r="V51" s="554" t="str">
        <f>IF(B51="","",SUM(S51:U51))</f>
        <v/>
      </c>
      <c r="W51" s="556" t="str">
        <f>IF(B51="","",IF(ISBLANK(S51),"",IF(AVERAGE(S51:U51)&lt;10,LEFT(AVERAGE(S51:U51),4),LEFT(AVERAGE(S51:U51),5))))</f>
        <v/>
      </c>
      <c r="X51" s="558" t="str">
        <f>IF(B51="","",IF(W51="","",IF(LEFT(W51,1)="0",0,ROUND(W51,0))))</f>
        <v/>
      </c>
      <c r="Y51" s="265" t="str">
        <f>IF(B51="","",ROUNDUP(AVERAGE(R51,R51,X51),2))</f>
        <v/>
      </c>
      <c r="Z51" s="266" t="str">
        <f>IF(B51="","",IF(TRUNC(Y51,0)=0,0,ROUND(Y51,0)))</f>
        <v/>
      </c>
    </row>
    <row r="52" spans="1:26" ht="13.5" customHeight="1" thickBot="1" x14ac:dyDescent="0.25">
      <c r="A52" s="539"/>
      <c r="B52" s="539"/>
      <c r="C52" s="279"/>
      <c r="D52" s="268"/>
      <c r="E52" s="268"/>
      <c r="F52" s="268"/>
      <c r="G52" s="268"/>
      <c r="H52" s="268"/>
      <c r="I52" s="268"/>
      <c r="J52" s="283" t="str">
        <f>IF(OR(B51="",COUNT(C52:I52)=0),"",SUM(C52:I52))</f>
        <v/>
      </c>
      <c r="K52" s="268"/>
      <c r="L52" s="268"/>
      <c r="M52" s="281"/>
      <c r="N52" s="268"/>
      <c r="O52" s="282"/>
      <c r="P52" s="280" t="str">
        <f>IF(OR(B51="",COUNT(K52:O52)=0),"",SUM(K52:O52))</f>
        <v/>
      </c>
      <c r="Q52" s="273" t="str">
        <f>IF(OR(B51="",COUNT(C52:I52)+COUNT(K52:O52)=0),"",ROUND(SUM(P52,J52),0))</f>
        <v/>
      </c>
      <c r="R52" s="344" t="str">
        <f ca="1">IF(Q52="","",IF(AP!$E$42="BE",INDIRECT("AP!P"&amp;MATCH(100*Q52/AP!$E$44,AP!$Q$4:$Q$20,-1)+4),Q52))</f>
        <v/>
      </c>
      <c r="S52" s="541"/>
      <c r="T52" s="543"/>
      <c r="U52" s="553"/>
      <c r="V52" s="555"/>
      <c r="W52" s="557"/>
      <c r="X52" s="559"/>
      <c r="Y52" s="274" t="str">
        <f>IF(B51="","",ROUNDUP(AVERAGE(R52,R52,X51),2))</f>
        <v/>
      </c>
      <c r="Z52" s="275" t="str">
        <f>IF(B51="","",IF(TRUNC(Y52,0)=0,0,ROUND(Y52,0)))</f>
        <v/>
      </c>
    </row>
    <row r="53" spans="1:26" ht="12.75" customHeight="1" x14ac:dyDescent="0.2">
      <c r="A53" s="538">
        <v>22</v>
      </c>
      <c r="B53" s="538" t="str">
        <f>IF('1. Halbjahr'!B25&lt;&gt;"", '1. Halbjahr'!B25, "")</f>
        <v/>
      </c>
      <c r="C53" s="276"/>
      <c r="D53" s="257"/>
      <c r="E53" s="257"/>
      <c r="F53" s="257"/>
      <c r="G53" s="257"/>
      <c r="H53" s="257"/>
      <c r="I53" s="257"/>
      <c r="J53" s="259" t="str">
        <f>IF(OR(B53="",COUNT(C53:I53)=0),"",SUM(C53:I53))</f>
        <v/>
      </c>
      <c r="K53" s="260"/>
      <c r="L53" s="261"/>
      <c r="M53" s="260"/>
      <c r="N53" s="257"/>
      <c r="O53" s="261"/>
      <c r="P53" s="262" t="str">
        <f>IF(OR(B53="",COUNT(K53:O53)=0),"",SUM(K53:O53))</f>
        <v/>
      </c>
      <c r="Q53" s="263" t="str">
        <f>IF(OR(B53="",COUNT(C53:I53)+COUNT(K53:O53)=0),"",ROUND(SUM(P53,J53),0))</f>
        <v/>
      </c>
      <c r="R53" s="266" t="str">
        <f ca="1">IF(Q53="","",IF(AP!$E$42="BE",INDIRECT("AP!P"&amp;MATCH(100*Q53/AP!$E$44,AP!$Q$4:$Q$20,-1)+4),Q53))</f>
        <v/>
      </c>
      <c r="S53" s="540"/>
      <c r="T53" s="542"/>
      <c r="U53" s="552"/>
      <c r="V53" s="554" t="str">
        <f>IF(B53="","",SUM(S53:U53))</f>
        <v/>
      </c>
      <c r="W53" s="556" t="str">
        <f>IF(B53="","",IF(ISBLANK(S53),"",IF(AVERAGE(S53:U53)&lt;10,LEFT(AVERAGE(S53:U53),4),LEFT(AVERAGE(S53:U53),5))))</f>
        <v/>
      </c>
      <c r="X53" s="558" t="str">
        <f>IF(B53="","",IF(W53="","",IF(LEFT(W53,1)="0",0,ROUND(W53,0))))</f>
        <v/>
      </c>
      <c r="Y53" s="265" t="str">
        <f>IF(B53="","",ROUNDUP(AVERAGE(R53,R53,X53),2))</f>
        <v/>
      </c>
      <c r="Z53" s="266" t="str">
        <f>IF(B53="","",IF(TRUNC(Y53,0)=0,0,ROUND(Y53,0)))</f>
        <v/>
      </c>
    </row>
    <row r="54" spans="1:26" ht="13.5" customHeight="1" thickBot="1" x14ac:dyDescent="0.25">
      <c r="A54" s="539"/>
      <c r="B54" s="539"/>
      <c r="C54" s="279"/>
      <c r="D54" s="268"/>
      <c r="E54" s="268"/>
      <c r="F54" s="268"/>
      <c r="G54" s="268"/>
      <c r="H54" s="268"/>
      <c r="I54" s="268"/>
      <c r="J54" s="283" t="str">
        <f>IF(OR(B53="",COUNT(C54:I54)=0),"",SUM(C54:I54))</f>
        <v/>
      </c>
      <c r="K54" s="268"/>
      <c r="L54" s="268"/>
      <c r="M54" s="281"/>
      <c r="N54" s="268"/>
      <c r="O54" s="282"/>
      <c r="P54" s="280" t="str">
        <f>IF(OR(B53="",COUNT(K54:O54)=0),"",SUM(K54:O54))</f>
        <v/>
      </c>
      <c r="Q54" s="273" t="str">
        <f>IF(OR(B53="",COUNT(C54:I54)+COUNT(K54:O54)=0),"",ROUND(SUM(P54,J54),0))</f>
        <v/>
      </c>
      <c r="R54" s="286" t="str">
        <f ca="1">IF(Q54="","",IF(AP!$E$42="BE",INDIRECT("AP!P"&amp;MATCH(100*Q54/AP!$E$44,AP!$Q$4:$Q$20,-1)+4),Q54))</f>
        <v/>
      </c>
      <c r="S54" s="541"/>
      <c r="T54" s="543"/>
      <c r="U54" s="553"/>
      <c r="V54" s="555"/>
      <c r="W54" s="557"/>
      <c r="X54" s="559"/>
      <c r="Y54" s="274" t="str">
        <f>IF(B53="","",ROUNDUP(AVERAGE(R54,R54,X53),2))</f>
        <v/>
      </c>
      <c r="Z54" s="275" t="str">
        <f>IF(B53="","",IF(TRUNC(Y54,0)=0,0,ROUND(Y54,0)))</f>
        <v/>
      </c>
    </row>
    <row r="55" spans="1:26" ht="12.75" customHeight="1" x14ac:dyDescent="0.2">
      <c r="A55" s="538">
        <v>23</v>
      </c>
      <c r="B55" s="538" t="str">
        <f>IF('1. Halbjahr'!B26&lt;&gt;"", '1. Halbjahr'!B26, "")</f>
        <v/>
      </c>
      <c r="C55" s="276"/>
      <c r="D55" s="257"/>
      <c r="E55" s="257"/>
      <c r="F55" s="257"/>
      <c r="G55" s="257"/>
      <c r="H55" s="257"/>
      <c r="I55" s="257"/>
      <c r="J55" s="259" t="str">
        <f>IF(OR(B55="",COUNT(C55:I55)=0),"",SUM(C55:I55))</f>
        <v/>
      </c>
      <c r="K55" s="260"/>
      <c r="L55" s="261"/>
      <c r="M55" s="260"/>
      <c r="N55" s="257"/>
      <c r="O55" s="261"/>
      <c r="P55" s="262" t="str">
        <f>IF(OR(B55="",COUNT(K55:O55)=0),"",SUM(K55:O55))</f>
        <v/>
      </c>
      <c r="Q55" s="263" t="str">
        <f>IF(OR(B55="",COUNT(C55:I55)+COUNT(K55:O55)=0),"",ROUND(SUM(P55,J55),0))</f>
        <v/>
      </c>
      <c r="R55" s="264" t="str">
        <f ca="1">IF(Q55="","",IF(AP!$E$42="BE",INDIRECT("AP!P"&amp;MATCH(100*Q55/AP!$E$44,AP!$Q$4:$Q$20,-1)+4),Q55))</f>
        <v/>
      </c>
      <c r="S55" s="540"/>
      <c r="T55" s="542"/>
      <c r="U55" s="552"/>
      <c r="V55" s="554" t="str">
        <f>IF(B55="","",SUM(S55:U55))</f>
        <v/>
      </c>
      <c r="W55" s="556" t="str">
        <f>IF(B55="","",IF(ISBLANK(S55),"",IF(AVERAGE(S55:U55)&lt;10,LEFT(AVERAGE(S55:U55),4),LEFT(AVERAGE(S55:U55),5))))</f>
        <v/>
      </c>
      <c r="X55" s="558" t="str">
        <f>IF(B55="","",IF(W55="","",IF(LEFT(W55,1)="0",0,ROUND(W55,0))))</f>
        <v/>
      </c>
      <c r="Y55" s="265" t="str">
        <f>IF(B55="","",ROUNDUP(AVERAGE(R55,R55,X55),2))</f>
        <v/>
      </c>
      <c r="Z55" s="266" t="str">
        <f>IF(B55="","",IF(TRUNC(Y55,0)=0,0,ROUND(Y55,0)))</f>
        <v/>
      </c>
    </row>
    <row r="56" spans="1:26" ht="13.5" customHeight="1" thickBot="1" x14ac:dyDescent="0.25">
      <c r="A56" s="539"/>
      <c r="B56" s="539"/>
      <c r="C56" s="279"/>
      <c r="D56" s="268"/>
      <c r="E56" s="268"/>
      <c r="F56" s="268"/>
      <c r="G56" s="268"/>
      <c r="H56" s="268"/>
      <c r="I56" s="268"/>
      <c r="J56" s="283" t="str">
        <f>IF(OR(B55="",COUNT(C56:I56)=0),"",SUM(C56:I56))</f>
        <v/>
      </c>
      <c r="K56" s="268"/>
      <c r="L56" s="268"/>
      <c r="M56" s="281"/>
      <c r="N56" s="268"/>
      <c r="O56" s="282"/>
      <c r="P56" s="280" t="str">
        <f>IF(OR(B55="",COUNT(K56:O56)=0),"",SUM(K56:O56))</f>
        <v/>
      </c>
      <c r="Q56" s="273" t="str">
        <f>IF(OR(B55="",COUNT(C56:I56)+COUNT(K56:O56)=0),"",ROUND(SUM(P56,J56),0))</f>
        <v/>
      </c>
      <c r="R56" s="344" t="str">
        <f ca="1">IF(Q56="","",IF(AP!$E$42="BE",INDIRECT("AP!P"&amp;MATCH(100*Q56/AP!$E$44,AP!$Q$4:$Q$20,-1)+4),Q56))</f>
        <v/>
      </c>
      <c r="S56" s="541"/>
      <c r="T56" s="543"/>
      <c r="U56" s="553"/>
      <c r="V56" s="555"/>
      <c r="W56" s="557"/>
      <c r="X56" s="559"/>
      <c r="Y56" s="274" t="str">
        <f>IF(B55="","",ROUNDUP(AVERAGE(R56,R56,X55),2))</f>
        <v/>
      </c>
      <c r="Z56" s="275" t="str">
        <f>IF(B55="","",IF(TRUNC(Y56,0)=0,0,ROUND(Y56,0)))</f>
        <v/>
      </c>
    </row>
    <row r="57" spans="1:26" ht="12.75" customHeight="1" x14ac:dyDescent="0.2">
      <c r="A57" s="538">
        <v>24</v>
      </c>
      <c r="B57" s="538" t="str">
        <f>IF('1. Halbjahr'!B27&lt;&gt;"", '1. Halbjahr'!B27, "")</f>
        <v/>
      </c>
      <c r="C57" s="276"/>
      <c r="D57" s="257"/>
      <c r="E57" s="257"/>
      <c r="F57" s="257"/>
      <c r="G57" s="257"/>
      <c r="H57" s="257"/>
      <c r="I57" s="257"/>
      <c r="J57" s="259" t="str">
        <f>IF(OR(B57="",COUNT(C57:I57)=0),"",SUM(C57:I57))</f>
        <v/>
      </c>
      <c r="K57" s="260"/>
      <c r="L57" s="261"/>
      <c r="M57" s="260"/>
      <c r="N57" s="257"/>
      <c r="O57" s="261"/>
      <c r="P57" s="262" t="str">
        <f>IF(OR(B57="",COUNT(K57:O57)=0),"",SUM(K57:O57))</f>
        <v/>
      </c>
      <c r="Q57" s="263" t="str">
        <f>IF(OR(B57="",COUNT(C57:I57)+COUNT(K57:O57)=0),"",ROUND(SUM(P57,J57),0))</f>
        <v/>
      </c>
      <c r="R57" s="266" t="str">
        <f ca="1">IF(Q57="","",IF(AP!$E$42="BE",INDIRECT("AP!P"&amp;MATCH(100*Q57/AP!$E$44,AP!$Q$4:$Q$20,-1)+4),Q57))</f>
        <v/>
      </c>
      <c r="S57" s="540"/>
      <c r="T57" s="542"/>
      <c r="U57" s="552"/>
      <c r="V57" s="554" t="str">
        <f>IF(B57="","",SUM(S57:U57))</f>
        <v/>
      </c>
      <c r="W57" s="556" t="str">
        <f>IF(B57="","",IF(ISBLANK(S57),"",IF(AVERAGE(S57:U57)&lt;10,LEFT(AVERAGE(S57:U57),4),LEFT(AVERAGE(S57:U57),5))))</f>
        <v/>
      </c>
      <c r="X57" s="558" t="str">
        <f>IF(B57="","",IF(W57="","",IF(LEFT(W57,1)="0",0,ROUND(W57,0))))</f>
        <v/>
      </c>
      <c r="Y57" s="265" t="str">
        <f>IF(B57="","",ROUNDUP(AVERAGE(R57,R57,X57),2))</f>
        <v/>
      </c>
      <c r="Z57" s="266" t="str">
        <f>IF(B57="","",IF(TRUNC(Y57,0)=0,0,ROUND(Y57,0)))</f>
        <v/>
      </c>
    </row>
    <row r="58" spans="1:26" ht="13.5" customHeight="1" thickBot="1" x14ac:dyDescent="0.25">
      <c r="A58" s="539"/>
      <c r="B58" s="539"/>
      <c r="C58" s="279"/>
      <c r="D58" s="268"/>
      <c r="E58" s="268"/>
      <c r="F58" s="268"/>
      <c r="G58" s="268"/>
      <c r="H58" s="268"/>
      <c r="I58" s="268"/>
      <c r="J58" s="283" t="str">
        <f>IF(OR(B57="",COUNT(C58:I58)=0),"",SUM(C58:I58))</f>
        <v/>
      </c>
      <c r="K58" s="268"/>
      <c r="L58" s="268"/>
      <c r="M58" s="281"/>
      <c r="N58" s="268"/>
      <c r="O58" s="282"/>
      <c r="P58" s="280" t="str">
        <f>IF(OR(B57="",COUNT(K58:O58)=0),"",SUM(K58:O58))</f>
        <v/>
      </c>
      <c r="Q58" s="273" t="str">
        <f>IF(OR(B57="",COUNT(C58:I58)+COUNT(K58:O58)=0),"",ROUND(SUM(P58,J58),0))</f>
        <v/>
      </c>
      <c r="R58" s="286" t="str">
        <f ca="1">IF(Q58="","",IF(AP!$E$42="BE",INDIRECT("AP!P"&amp;MATCH(100*Q58/AP!$E$44,AP!$Q$4:$Q$20,-1)+4),Q58))</f>
        <v/>
      </c>
      <c r="S58" s="541"/>
      <c r="T58" s="543"/>
      <c r="U58" s="553"/>
      <c r="V58" s="555"/>
      <c r="W58" s="557"/>
      <c r="X58" s="559"/>
      <c r="Y58" s="274" t="str">
        <f>IF(B57="","",ROUNDUP(AVERAGE(R58,R58,X57),2))</f>
        <v/>
      </c>
      <c r="Z58" s="275" t="str">
        <f>IF(B57="","",IF(TRUNC(Y58,0)=0,0,ROUND(Y58,0)))</f>
        <v/>
      </c>
    </row>
    <row r="59" spans="1:26" ht="12.75" customHeight="1" x14ac:dyDescent="0.2">
      <c r="A59" s="538">
        <v>25</v>
      </c>
      <c r="B59" s="538" t="str">
        <f>IF('1. Halbjahr'!B28&lt;&gt;"", '1. Halbjahr'!B28, "")</f>
        <v/>
      </c>
      <c r="C59" s="276"/>
      <c r="D59" s="257"/>
      <c r="E59" s="257"/>
      <c r="F59" s="257"/>
      <c r="G59" s="257"/>
      <c r="H59" s="257"/>
      <c r="I59" s="257"/>
      <c r="J59" s="277" t="str">
        <f>IF(OR(B59="",COUNT(C59:I59)=0),"",SUM(C59:I59))</f>
        <v/>
      </c>
      <c r="K59" s="260"/>
      <c r="L59" s="261"/>
      <c r="M59" s="260"/>
      <c r="N59" s="257"/>
      <c r="O59" s="261"/>
      <c r="P59" s="262" t="str">
        <f>IF(OR(B59="",COUNT(K59:O59)=0),"",SUM(K59:O59))</f>
        <v/>
      </c>
      <c r="Q59" s="263" t="str">
        <f>IF(OR(B59="",COUNT(C59:I59)+COUNT(K59:O59)=0),"",ROUND(SUM(P59,J59),0))</f>
        <v/>
      </c>
      <c r="R59" s="264" t="str">
        <f ca="1">IF(Q59="","",IF(AP!$E$42="BE",INDIRECT("AP!P"&amp;MATCH(100*Q59/AP!$E$44,AP!$Q$4:$Q$20,-1)+4),Q59))</f>
        <v/>
      </c>
      <c r="S59" s="540"/>
      <c r="T59" s="542"/>
      <c r="U59" s="552"/>
      <c r="V59" s="554" t="str">
        <f>IF(B59="","",SUM(S59:U59))</f>
        <v/>
      </c>
      <c r="W59" s="556" t="str">
        <f>IF(B59="","",IF(ISBLANK(S59),"",IF(AVERAGE(S59:U59)&lt;10,LEFT(AVERAGE(S59:U59),4),LEFT(AVERAGE(S59:U59),5))))</f>
        <v/>
      </c>
      <c r="X59" s="558" t="str">
        <f>IF(B59="","",IF(W59="","",IF(LEFT(W59,1)="0",0,ROUND(W59,0))))</f>
        <v/>
      </c>
      <c r="Y59" s="265" t="str">
        <f>IF(B59="","",ROUNDUP(AVERAGE(R59,R59,X59),2))</f>
        <v/>
      </c>
      <c r="Z59" s="266" t="str">
        <f>IF(B59="","",IF(TRUNC(Y59,0)=0,0,ROUND(Y59,0)))</f>
        <v/>
      </c>
    </row>
    <row r="60" spans="1:26" ht="13.5" customHeight="1" thickBot="1" x14ac:dyDescent="0.25">
      <c r="A60" s="539"/>
      <c r="B60" s="539"/>
      <c r="C60" s="279"/>
      <c r="D60" s="268"/>
      <c r="E60" s="268"/>
      <c r="F60" s="268"/>
      <c r="G60" s="268"/>
      <c r="H60" s="268"/>
      <c r="I60" s="268"/>
      <c r="J60" s="280" t="str">
        <f>IF(OR(B59="",COUNT(C60:I60)=0),"",SUM(C60:I60))</f>
        <v/>
      </c>
      <c r="K60" s="268"/>
      <c r="L60" s="268"/>
      <c r="M60" s="281"/>
      <c r="N60" s="268"/>
      <c r="O60" s="282"/>
      <c r="P60" s="280" t="str">
        <f>IF(OR(B59="",COUNT(K60:O60)=0),"",SUM(K60:O60))</f>
        <v/>
      </c>
      <c r="Q60" s="273" t="str">
        <f>IF(OR(B59="",COUNT(C60:I60)+COUNT(K60:O60)=0),"",ROUND(SUM(P60,J60),0))</f>
        <v/>
      </c>
      <c r="R60" s="344" t="str">
        <f ca="1">IF(Q60="","",IF(AP!$E$42="BE",INDIRECT("AP!P"&amp;MATCH(100*Q60/AP!$E$44,AP!$Q$4:$Q$20,-1)+4),Q60))</f>
        <v/>
      </c>
      <c r="S60" s="541"/>
      <c r="T60" s="543"/>
      <c r="U60" s="553"/>
      <c r="V60" s="555"/>
      <c r="W60" s="557"/>
      <c r="X60" s="559"/>
      <c r="Y60" s="274" t="str">
        <f>IF(B59="","",ROUNDUP(AVERAGE(R60,R60,X59),2))</f>
        <v/>
      </c>
      <c r="Z60" s="275" t="str">
        <f>IF(B59="","",IF(TRUNC(Y60,0)=0,0,ROUND(Y60,0)))</f>
        <v/>
      </c>
    </row>
    <row r="61" spans="1:26" ht="12.75" customHeight="1" x14ac:dyDescent="0.2">
      <c r="A61" s="538">
        <v>26</v>
      </c>
      <c r="B61" s="538" t="str">
        <f>IF('1. Halbjahr'!B29&lt;&gt;"", '1. Halbjahr'!B29, "")</f>
        <v/>
      </c>
      <c r="C61" s="276"/>
      <c r="D61" s="257"/>
      <c r="E61" s="257"/>
      <c r="F61" s="257"/>
      <c r="G61" s="257"/>
      <c r="H61" s="257"/>
      <c r="I61" s="257"/>
      <c r="J61" s="277" t="str">
        <f>IF(OR(B61="",COUNT(C61:I61)=0),"",SUM(C61:I61))</f>
        <v/>
      </c>
      <c r="K61" s="260"/>
      <c r="L61" s="261"/>
      <c r="M61" s="260"/>
      <c r="N61" s="257"/>
      <c r="O61" s="261"/>
      <c r="P61" s="262" t="str">
        <f>IF(OR(B61="",COUNT(K61:O61)=0),"",SUM(K61:O61))</f>
        <v/>
      </c>
      <c r="Q61" s="263" t="str">
        <f>IF(OR(B61="",COUNT(C61:I61)+COUNT(K61:O61)=0),"",ROUND(SUM(P61,J61),0))</f>
        <v/>
      </c>
      <c r="R61" s="266" t="str">
        <f ca="1">IF(Q61="","",IF(AP!$E$42="BE",INDIRECT("AP!P"&amp;MATCH(100*Q61/AP!$E$44,AP!$Q$4:$Q$20,-1)+4),Q61))</f>
        <v/>
      </c>
      <c r="S61" s="540"/>
      <c r="T61" s="542"/>
      <c r="U61" s="552"/>
      <c r="V61" s="554" t="str">
        <f>IF(B61="","",SUM(S61:U61))</f>
        <v/>
      </c>
      <c r="W61" s="556" t="str">
        <f>IF(B61="","",IF(ISBLANK(S61),"",IF(AVERAGE(S61:U61)&lt;10,LEFT(AVERAGE(S61:U61),4),LEFT(AVERAGE(S61:U61),5))))</f>
        <v/>
      </c>
      <c r="X61" s="558" t="str">
        <f>IF(B61="","",IF(W61="","",IF(LEFT(W61,1)="0",0,ROUND(W61,0))))</f>
        <v/>
      </c>
      <c r="Y61" s="265" t="str">
        <f>IF(B61="","",ROUNDUP(AVERAGE(R61,R61,X61),2))</f>
        <v/>
      </c>
      <c r="Z61" s="266" t="str">
        <f>IF(B61="","",IF(TRUNC(Y61,0)=0,0,ROUND(Y61,0)))</f>
        <v/>
      </c>
    </row>
    <row r="62" spans="1:26" ht="13.5" customHeight="1" thickBot="1" x14ac:dyDescent="0.25">
      <c r="A62" s="539"/>
      <c r="B62" s="539"/>
      <c r="C62" s="279"/>
      <c r="D62" s="268"/>
      <c r="E62" s="268"/>
      <c r="F62" s="268"/>
      <c r="G62" s="268"/>
      <c r="H62" s="268"/>
      <c r="I62" s="268"/>
      <c r="J62" s="280" t="str">
        <f>IF(OR(B61="",COUNT(C62:I62)=0),"",SUM(C62:I62))</f>
        <v/>
      </c>
      <c r="K62" s="268"/>
      <c r="L62" s="268"/>
      <c r="M62" s="281"/>
      <c r="N62" s="268"/>
      <c r="O62" s="282"/>
      <c r="P62" s="280" t="str">
        <f>IF(OR(B61="",COUNT(K62:O62)=0),"",SUM(K62:O62))</f>
        <v/>
      </c>
      <c r="Q62" s="273" t="str">
        <f>IF(OR(B61="",COUNT(C62:I62)+COUNT(K62:O62)=0),"",ROUND(SUM(P62,J62),0))</f>
        <v/>
      </c>
      <c r="R62" s="344" t="str">
        <f ca="1">IF(Q62="","",IF(AP!$E$42="BE",INDIRECT("AP!P"&amp;MATCH(100*Q62/AP!$E$44,AP!$Q$4:$Q$20,-1)+4),Q62))</f>
        <v/>
      </c>
      <c r="S62" s="541"/>
      <c r="T62" s="543"/>
      <c r="U62" s="553"/>
      <c r="V62" s="555"/>
      <c r="W62" s="557"/>
      <c r="X62" s="559"/>
      <c r="Y62" s="274" t="str">
        <f>IF(B61="","",ROUNDUP(AVERAGE(R62,R62,X61),2))</f>
        <v/>
      </c>
      <c r="Z62" s="275" t="str">
        <f>IF(B61="","",IF(TRUNC(Y62,0)=0,0,ROUND(Y62,0)))</f>
        <v/>
      </c>
    </row>
    <row r="63" spans="1:26" ht="12.75" customHeight="1" x14ac:dyDescent="0.2">
      <c r="A63" s="538">
        <v>27</v>
      </c>
      <c r="B63" s="538" t="str">
        <f>IF('1. Halbjahr'!B30&lt;&gt;"", '1. Halbjahr'!B30, "")</f>
        <v/>
      </c>
      <c r="C63" s="276"/>
      <c r="D63" s="257"/>
      <c r="E63" s="257"/>
      <c r="F63" s="257"/>
      <c r="G63" s="257"/>
      <c r="H63" s="257"/>
      <c r="I63" s="257"/>
      <c r="J63" s="277" t="str">
        <f>IF(OR(B63="",COUNT(C63:I63)=0),"",SUM(C63:I63))</f>
        <v/>
      </c>
      <c r="K63" s="260"/>
      <c r="L63" s="261"/>
      <c r="M63" s="260"/>
      <c r="N63" s="257"/>
      <c r="O63" s="261"/>
      <c r="P63" s="262" t="str">
        <f>IF(OR(B63="",COUNT(K63:O63)=0),"",SUM(K63:O63))</f>
        <v/>
      </c>
      <c r="Q63" s="263" t="str">
        <f>IF(OR(B63="",COUNT(C63:I63)+COUNT(K63:O63)=0),"",ROUND(SUM(P63,J63),0))</f>
        <v/>
      </c>
      <c r="R63" s="266" t="str">
        <f ca="1">IF(Q63="","",IF(AP!$E$42="BE",INDIRECT("AP!P"&amp;MATCH(100*Q63/AP!$E$44,AP!$Q$4:$Q$20,-1)+4),Q63))</f>
        <v/>
      </c>
      <c r="S63" s="540"/>
      <c r="T63" s="542"/>
      <c r="U63" s="552"/>
      <c r="V63" s="554" t="str">
        <f>IF(B63="","",SUM(S63:U63))</f>
        <v/>
      </c>
      <c r="W63" s="556" t="str">
        <f>IF(B63="","",IF(ISBLANK(S63),"",IF(AVERAGE(S63:U63)&lt;10,LEFT(AVERAGE(S63:U63),4),LEFT(AVERAGE(S63:U63),5))))</f>
        <v/>
      </c>
      <c r="X63" s="558" t="str">
        <f>IF(B63="","",IF(W63="","",IF(LEFT(W63,1)="0",0,ROUND(W63,0))))</f>
        <v/>
      </c>
      <c r="Y63" s="265" t="str">
        <f>IF(B63="","",ROUNDUP(AVERAGE(R63,R63,X63),2))</f>
        <v/>
      </c>
      <c r="Z63" s="266" t="str">
        <f>IF(B63="","",IF(TRUNC(Y63,0)=0,0,ROUND(Y63,0)))</f>
        <v/>
      </c>
    </row>
    <row r="64" spans="1:26" ht="13.5" customHeight="1" thickBot="1" x14ac:dyDescent="0.25">
      <c r="A64" s="539"/>
      <c r="B64" s="539"/>
      <c r="C64" s="279"/>
      <c r="D64" s="268"/>
      <c r="E64" s="268"/>
      <c r="F64" s="268"/>
      <c r="G64" s="268"/>
      <c r="H64" s="268"/>
      <c r="I64" s="268"/>
      <c r="J64" s="280" t="str">
        <f>IF(OR(B63="",COUNT(C64:I64)=0),"",SUM(C64:I64))</f>
        <v/>
      </c>
      <c r="K64" s="268"/>
      <c r="L64" s="268"/>
      <c r="M64" s="281"/>
      <c r="N64" s="268"/>
      <c r="O64" s="282"/>
      <c r="P64" s="280" t="str">
        <f>IF(OR(B63="",COUNT(K64:O64)=0),"",SUM(K64:O64))</f>
        <v/>
      </c>
      <c r="Q64" s="273" t="str">
        <f>IF(OR(B63="",COUNT(C64:I64)+COUNT(K64:O64)=0),"",ROUND(SUM(P64,J64),0))</f>
        <v/>
      </c>
      <c r="R64" s="286" t="str">
        <f ca="1">IF(Q64="","",IF(AP!$E$42="BE",INDIRECT("AP!P"&amp;MATCH(100*Q64/AP!$E$44,AP!$Q$4:$Q$20,-1)+4),Q64))</f>
        <v/>
      </c>
      <c r="S64" s="541"/>
      <c r="T64" s="543"/>
      <c r="U64" s="553"/>
      <c r="V64" s="555"/>
      <c r="W64" s="557"/>
      <c r="X64" s="559"/>
      <c r="Y64" s="274" t="str">
        <f>IF(B63="","",ROUNDUP(AVERAGE(R64,R64,X63),2))</f>
        <v/>
      </c>
      <c r="Z64" s="275" t="str">
        <f>IF(B63="","",IF(TRUNC(Y64,0)=0,0,ROUND(Y64,0)))</f>
        <v/>
      </c>
    </row>
    <row r="65" spans="1:26" ht="12.75" customHeight="1" x14ac:dyDescent="0.2">
      <c r="A65" s="538">
        <v>28</v>
      </c>
      <c r="B65" s="538" t="str">
        <f>IF('1. Halbjahr'!B31&lt;&gt;"", '1. Halbjahr'!B31, "")</f>
        <v/>
      </c>
      <c r="C65" s="276"/>
      <c r="D65" s="257"/>
      <c r="E65" s="257"/>
      <c r="F65" s="257"/>
      <c r="G65" s="257"/>
      <c r="H65" s="257"/>
      <c r="I65" s="257"/>
      <c r="J65" s="277" t="str">
        <f>IF(OR(B65="",COUNT(C65:I65)=0),"",SUM(C65:I65))</f>
        <v/>
      </c>
      <c r="K65" s="260"/>
      <c r="L65" s="261"/>
      <c r="M65" s="260"/>
      <c r="N65" s="257"/>
      <c r="O65" s="261"/>
      <c r="P65" s="262" t="str">
        <f>IF(OR(B65="",COUNT(K65:O65)=0),"",SUM(K65:O65))</f>
        <v/>
      </c>
      <c r="Q65" s="263" t="str">
        <f>IF(OR(B65="",COUNT(C65:I65)+COUNT(K65:O65)=0),"",ROUND(SUM(P65,J65),0))</f>
        <v/>
      </c>
      <c r="R65" s="264" t="str">
        <f ca="1">IF(Q65="","",IF(AP!$E$42="BE",INDIRECT("AP!P"&amp;MATCH(100*Q65/AP!$E$44,AP!$Q$4:$Q$20,-1)+4),Q65))</f>
        <v/>
      </c>
      <c r="S65" s="540"/>
      <c r="T65" s="542"/>
      <c r="U65" s="552"/>
      <c r="V65" s="554" t="str">
        <f>IF(B65="","",SUM(S65:U65))</f>
        <v/>
      </c>
      <c r="W65" s="556" t="str">
        <f>IF(B65="","",IF(ISBLANK(S65),"",IF(AVERAGE(S65:U65)&lt;10,LEFT(AVERAGE(S65:U65),4),LEFT(AVERAGE(S65:U65),5))))</f>
        <v/>
      </c>
      <c r="X65" s="558" t="str">
        <f>IF(B65="","",IF(W65="","",IF(LEFT(W65,1)="0",0,ROUND(W65,0))))</f>
        <v/>
      </c>
      <c r="Y65" s="265" t="str">
        <f>IF(B65="","",ROUNDUP(AVERAGE(R65,R65,X65),2))</f>
        <v/>
      </c>
      <c r="Z65" s="266" t="str">
        <f>IF(B65="","",IF(TRUNC(Y65,0)=0,0,ROUND(Y65,0)))</f>
        <v/>
      </c>
    </row>
    <row r="66" spans="1:26" ht="13.5" customHeight="1" thickBot="1" x14ac:dyDescent="0.25">
      <c r="A66" s="539"/>
      <c r="B66" s="539"/>
      <c r="C66" s="279"/>
      <c r="D66" s="268"/>
      <c r="E66" s="268"/>
      <c r="F66" s="268"/>
      <c r="G66" s="268"/>
      <c r="H66" s="268"/>
      <c r="I66" s="268"/>
      <c r="J66" s="280" t="str">
        <f>IF(OR(B65="",COUNT(C66:I66)=0),"",SUM(C66:I66))</f>
        <v/>
      </c>
      <c r="K66" s="268"/>
      <c r="L66" s="268"/>
      <c r="M66" s="281"/>
      <c r="N66" s="268"/>
      <c r="O66" s="282"/>
      <c r="P66" s="280" t="str">
        <f>IF(OR(B65="",COUNT(K66:O66)=0),"",SUM(K66:O66))</f>
        <v/>
      </c>
      <c r="Q66" s="273" t="str">
        <f>IF(OR(B65="",COUNT(C66:I66)+COUNT(K66:O66)=0),"",ROUND(SUM(P66,J66),0))</f>
        <v/>
      </c>
      <c r="R66" s="286" t="str">
        <f ca="1">IF(Q66="","",IF(AP!$E$42="BE",INDIRECT("AP!P"&amp;MATCH(100*Q66/AP!$E$44,AP!$Q$4:$Q$20,-1)+4),Q66))</f>
        <v/>
      </c>
      <c r="S66" s="541"/>
      <c r="T66" s="543"/>
      <c r="U66" s="553"/>
      <c r="V66" s="555"/>
      <c r="W66" s="557"/>
      <c r="X66" s="559"/>
      <c r="Y66" s="274" t="str">
        <f>IF(B65="","",ROUNDUP(AVERAGE(R66,R66,X65),2))</f>
        <v/>
      </c>
      <c r="Z66" s="275" t="str">
        <f>IF(B65="","",IF(TRUNC(Y66,0)=0,0,ROUND(Y66,0)))</f>
        <v/>
      </c>
    </row>
    <row r="67" spans="1:26" ht="12.75" customHeight="1" x14ac:dyDescent="0.2">
      <c r="A67" s="538">
        <v>29</v>
      </c>
      <c r="B67" s="538" t="str">
        <f>IF('1. Halbjahr'!B32&lt;&gt;"", '1. Halbjahr'!B32, "")</f>
        <v/>
      </c>
      <c r="C67" s="276"/>
      <c r="D67" s="257"/>
      <c r="E67" s="257"/>
      <c r="F67" s="257"/>
      <c r="G67" s="257"/>
      <c r="H67" s="257"/>
      <c r="I67" s="257"/>
      <c r="J67" s="277" t="str">
        <f>IF(OR(B67="",COUNT(C67:I67)=0),"",SUM(C67:I67))</f>
        <v/>
      </c>
      <c r="K67" s="260"/>
      <c r="L67" s="261"/>
      <c r="M67" s="260"/>
      <c r="N67" s="257"/>
      <c r="O67" s="261"/>
      <c r="P67" s="262" t="str">
        <f>IF(OR(B67="",COUNT(K67:O67)=0),"",SUM(K67:O67))</f>
        <v/>
      </c>
      <c r="Q67" s="263" t="str">
        <f>IF(OR(B67="",COUNT(C67:I67)+COUNT(K67:O67)=0),"",ROUND(SUM(P67,J67),0))</f>
        <v/>
      </c>
      <c r="R67" s="264" t="str">
        <f ca="1">IF(Q67="","",IF(AP!$E$42="BE",INDIRECT("AP!P"&amp;MATCH(100*Q67/AP!$E$44,AP!$Q$4:$Q$20,-1)+4),Q67))</f>
        <v/>
      </c>
      <c r="S67" s="540"/>
      <c r="T67" s="542"/>
      <c r="U67" s="552"/>
      <c r="V67" s="554" t="str">
        <f>IF(B67="","",SUM(S67:U67))</f>
        <v/>
      </c>
      <c r="W67" s="556" t="str">
        <f>IF(B67="","",IF(ISBLANK(S67),"",IF(AVERAGE(S67:U67)&lt;10,LEFT(AVERAGE(S67:U67),4),LEFT(AVERAGE(S67:U67),5))))</f>
        <v/>
      </c>
      <c r="X67" s="558" t="str">
        <f>IF(B67="","",IF(W67="","",IF(LEFT(W67,1)="0",0,ROUND(W67,0))))</f>
        <v/>
      </c>
      <c r="Y67" s="265" t="str">
        <f>IF(B67="","",ROUNDUP(AVERAGE(R67,R67,X67),2))</f>
        <v/>
      </c>
      <c r="Z67" s="266" t="str">
        <f>IF(B67="","",IF(TRUNC(Y67,0)=0,0,ROUND(Y67,0)))</f>
        <v/>
      </c>
    </row>
    <row r="68" spans="1:26" ht="13.5" customHeight="1" thickBot="1" x14ac:dyDescent="0.25">
      <c r="A68" s="539"/>
      <c r="B68" s="539"/>
      <c r="C68" s="279"/>
      <c r="D68" s="268"/>
      <c r="E68" s="268"/>
      <c r="F68" s="268"/>
      <c r="G68" s="268"/>
      <c r="H68" s="268"/>
      <c r="I68" s="268"/>
      <c r="J68" s="280" t="str">
        <f>IF(OR(B67="",COUNT(C68:I68)=0),"",SUM(C68:I68))</f>
        <v/>
      </c>
      <c r="K68" s="268"/>
      <c r="L68" s="268"/>
      <c r="M68" s="281"/>
      <c r="N68" s="268"/>
      <c r="O68" s="282"/>
      <c r="P68" s="280" t="str">
        <f>IF(OR(B67="",COUNT(K68:O68)=0),"",SUM(K68:O68))</f>
        <v/>
      </c>
      <c r="Q68" s="273" t="str">
        <f>IF(OR(B67="",COUNT(C68:I68)+COUNT(K68:O68)=0),"",ROUND(SUM(P68,J68),0))</f>
        <v/>
      </c>
      <c r="R68" s="344" t="str">
        <f ca="1">IF(Q68="","",IF(AP!$E$42="BE",INDIRECT("AP!P"&amp;MATCH(100*Q68/AP!$E$44,AP!$Q$4:$Q$20,-1)+4),Q68))</f>
        <v/>
      </c>
      <c r="S68" s="541"/>
      <c r="T68" s="543"/>
      <c r="U68" s="553"/>
      <c r="V68" s="555"/>
      <c r="W68" s="557"/>
      <c r="X68" s="559"/>
      <c r="Y68" s="274" t="str">
        <f>IF(B67="","",ROUNDUP(AVERAGE(R68,R68,X67),2))</f>
        <v/>
      </c>
      <c r="Z68" s="275" t="str">
        <f>IF(B67="","",IF(TRUNC(Y68,0)=0,0,ROUND(Y68,0)))</f>
        <v/>
      </c>
    </row>
    <row r="69" spans="1:26" ht="12.75" customHeight="1" x14ac:dyDescent="0.2">
      <c r="A69" s="538">
        <v>30</v>
      </c>
      <c r="B69" s="538" t="str">
        <f>IF('1. Halbjahr'!B33&lt;&gt;"", '1. Halbjahr'!B33, "")</f>
        <v/>
      </c>
      <c r="C69" s="276"/>
      <c r="D69" s="257"/>
      <c r="E69" s="257"/>
      <c r="F69" s="257"/>
      <c r="G69" s="257"/>
      <c r="H69" s="257"/>
      <c r="I69" s="257"/>
      <c r="J69" s="277" t="str">
        <f>IF(OR(B69="",COUNT(C69:I69)=0),"",SUM(C69:I69))</f>
        <v/>
      </c>
      <c r="K69" s="260"/>
      <c r="L69" s="261"/>
      <c r="M69" s="260"/>
      <c r="N69" s="257"/>
      <c r="O69" s="261"/>
      <c r="P69" s="262" t="str">
        <f>IF(OR(B69="",COUNT(K69:O69)=0),"",SUM(K69:O69))</f>
        <v/>
      </c>
      <c r="Q69" s="263" t="str">
        <f>IF(OR(B69="",COUNT(C69:I69)+COUNT(K69:O69)=0),"",ROUND(SUM(P69,J69),0))</f>
        <v/>
      </c>
      <c r="R69" s="266" t="str">
        <f ca="1">IF(Q69="","",IF(AP!$E$42="BE",INDIRECT("AP!P"&amp;MATCH(100*Q69/AP!$E$44,AP!$Q$4:$Q$20,-1)+4),Q69))</f>
        <v/>
      </c>
      <c r="S69" s="540"/>
      <c r="T69" s="542"/>
      <c r="U69" s="552"/>
      <c r="V69" s="554" t="str">
        <f>IF(B69="","",SUM(S69:U69))</f>
        <v/>
      </c>
      <c r="W69" s="556" t="str">
        <f>IF(B69="","",IF(ISBLANK(S69),"",IF(AVERAGE(S69:U69)&lt;10,LEFT(AVERAGE(S69:U69),4),LEFT(AVERAGE(S69:U69),5))))</f>
        <v/>
      </c>
      <c r="X69" s="558" t="str">
        <f>IF(B69="","",IF(W69="","",IF(LEFT(W69,1)="0",0,ROUND(W69,0))))</f>
        <v/>
      </c>
      <c r="Y69" s="265" t="str">
        <f>IF(B69="","",ROUNDUP(AVERAGE(R69,R69,X69),2))</f>
        <v/>
      </c>
      <c r="Z69" s="266" t="str">
        <f>IF(B69="","",IF(TRUNC(Y69,0)=0,0,ROUND(Y69,0)))</f>
        <v/>
      </c>
    </row>
    <row r="70" spans="1:26" ht="13.5" customHeight="1" thickBot="1" x14ac:dyDescent="0.25">
      <c r="A70" s="539"/>
      <c r="B70" s="539"/>
      <c r="C70" s="279"/>
      <c r="D70" s="268"/>
      <c r="E70" s="268"/>
      <c r="F70" s="268"/>
      <c r="G70" s="268"/>
      <c r="H70" s="268"/>
      <c r="I70" s="268"/>
      <c r="J70" s="280" t="str">
        <f>IF(OR(B69="",COUNT(C70:I70)=0),"",SUM(C70:I70))</f>
        <v/>
      </c>
      <c r="K70" s="268"/>
      <c r="L70" s="268"/>
      <c r="M70" s="281"/>
      <c r="N70" s="268"/>
      <c r="O70" s="282"/>
      <c r="P70" s="280" t="str">
        <f>IF(OR(B69="",COUNT(K70:O70)=0),"",SUM(K70:O70))</f>
        <v/>
      </c>
      <c r="Q70" s="273" t="str">
        <f>IF(OR(B69="",COUNT(C70:I70)+COUNT(K70:O70)=0),"",ROUND(SUM(P70,J70),0))</f>
        <v/>
      </c>
      <c r="R70" s="286" t="str">
        <f ca="1">IF(Q70="","",IF(AP!$E$42="BE",INDIRECT("AP!P"&amp;MATCH(100*Q70/AP!$E$44,AP!$Q$4:$Q$20,-1)+4),Q70))</f>
        <v/>
      </c>
      <c r="S70" s="541"/>
      <c r="T70" s="543"/>
      <c r="U70" s="553"/>
      <c r="V70" s="555"/>
      <c r="W70" s="557"/>
      <c r="X70" s="559"/>
      <c r="Y70" s="274" t="str">
        <f>IF(B69="","",ROUNDUP(AVERAGE(R70,R70,X69),2))</f>
        <v/>
      </c>
      <c r="Z70" s="275" t="str">
        <f>IF(B69="","",IF(TRUNC(Y70,0)=0,0,ROUND(Y70,0)))</f>
        <v/>
      </c>
    </row>
    <row r="71" spans="1:26" ht="12.75" customHeight="1" x14ac:dyDescent="0.2">
      <c r="A71" s="538">
        <v>31</v>
      </c>
      <c r="B71" s="538" t="str">
        <f>IF('1. Halbjahr'!B34&lt;&gt;"", '1. Halbjahr'!B34, "")</f>
        <v/>
      </c>
      <c r="C71" s="276"/>
      <c r="D71" s="257"/>
      <c r="E71" s="257"/>
      <c r="F71" s="257"/>
      <c r="G71" s="257"/>
      <c r="H71" s="257"/>
      <c r="I71" s="257"/>
      <c r="J71" s="259" t="str">
        <f>IF(OR(B71="",COUNT(C71:I71)=0),"",SUM(C71:I71))</f>
        <v/>
      </c>
      <c r="K71" s="260"/>
      <c r="L71" s="261"/>
      <c r="M71" s="260"/>
      <c r="N71" s="257"/>
      <c r="O71" s="261"/>
      <c r="P71" s="262" t="str">
        <f>IF(OR(B71="",COUNT(K71:O71)=0),"",SUM(K71:O71))</f>
        <v/>
      </c>
      <c r="Q71" s="263" t="str">
        <f>IF(OR(B71="",COUNT(C71:I71)+COUNT(K71:O71)=0),"",ROUND(SUM(P71,J71),0))</f>
        <v/>
      </c>
      <c r="R71" s="264" t="str">
        <f ca="1">IF(Q71="","",IF(AP!$E$42="BE",INDIRECT("AP!P"&amp;MATCH(100*Q71/AP!$E$44,AP!$Q$4:$Q$20,-1)+4),Q71))</f>
        <v/>
      </c>
      <c r="S71" s="540"/>
      <c r="T71" s="542"/>
      <c r="U71" s="552"/>
      <c r="V71" s="554" t="str">
        <f>IF(B71="","",SUM(S71:U71))</f>
        <v/>
      </c>
      <c r="W71" s="556" t="str">
        <f>IF(B71="","",IF(ISBLANK(S71),"",IF(AVERAGE(S71:U71)&lt;10,LEFT(AVERAGE(S71:U71),4),LEFT(AVERAGE(S71:U71),5))))</f>
        <v/>
      </c>
      <c r="X71" s="558" t="str">
        <f>IF(B71="","",IF(W71="","",IF(LEFT(W71,1)="0",0,ROUND(W71,0))))</f>
        <v/>
      </c>
      <c r="Y71" s="265" t="str">
        <f>IF(B71="","",ROUNDUP(AVERAGE(R71,R71,X71),2))</f>
        <v/>
      </c>
      <c r="Z71" s="266" t="str">
        <f>IF(B71="","",IF(TRUNC(Y71,0)=0,0,ROUND(Y71,0)))</f>
        <v/>
      </c>
    </row>
    <row r="72" spans="1:26" ht="13.5" customHeight="1" thickBot="1" x14ac:dyDescent="0.25">
      <c r="A72" s="539"/>
      <c r="B72" s="539"/>
      <c r="C72" s="279"/>
      <c r="D72" s="268"/>
      <c r="E72" s="268"/>
      <c r="F72" s="268"/>
      <c r="G72" s="268"/>
      <c r="H72" s="268"/>
      <c r="I72" s="268"/>
      <c r="J72" s="283" t="str">
        <f>IF(OR(B71="",COUNT(C72:I72)=0),"",SUM(C72:I72))</f>
        <v/>
      </c>
      <c r="K72" s="268"/>
      <c r="L72" s="268"/>
      <c r="M72" s="281"/>
      <c r="N72" s="268"/>
      <c r="O72" s="282"/>
      <c r="P72" s="280" t="str">
        <f>IF(OR(B71="",COUNT(K72:O72)=0),"",SUM(K72:O72))</f>
        <v/>
      </c>
      <c r="Q72" s="273" t="str">
        <f>IF(OR(B71="",COUNT(C72:I72)+COUNT(K72:O72)=0),"",ROUND(SUM(P72,J72),0))</f>
        <v/>
      </c>
      <c r="R72" s="344" t="str">
        <f ca="1">IF(Q72="","",IF(AP!$E$42="BE",INDIRECT("AP!P"&amp;MATCH(100*Q72/AP!$E$44,AP!$Q$4:$Q$20,-1)+4),Q72))</f>
        <v/>
      </c>
      <c r="S72" s="541"/>
      <c r="T72" s="543"/>
      <c r="U72" s="553"/>
      <c r="V72" s="555"/>
      <c r="W72" s="557"/>
      <c r="X72" s="559"/>
      <c r="Y72" s="274" t="str">
        <f>IF(B71="","",ROUNDUP(AVERAGE(R72,R72,X71),2))</f>
        <v/>
      </c>
      <c r="Z72" s="275" t="str">
        <f>IF(B71="","",IF(TRUNC(Y72,0)=0,0,ROUND(Y72,0)))</f>
        <v/>
      </c>
    </row>
    <row r="73" spans="1:26" ht="12.75" customHeight="1" x14ac:dyDescent="0.2">
      <c r="A73" s="538">
        <v>32</v>
      </c>
      <c r="B73" s="538" t="str">
        <f>IF('1. Halbjahr'!B35&lt;&gt;"", '1. Halbjahr'!B35, "")</f>
        <v/>
      </c>
      <c r="C73" s="276"/>
      <c r="D73" s="257"/>
      <c r="E73" s="257"/>
      <c r="F73" s="257"/>
      <c r="G73" s="257"/>
      <c r="H73" s="257"/>
      <c r="I73" s="257"/>
      <c r="J73" s="259" t="str">
        <f>IF(OR(B73="",COUNT(C73:I73)=0),"",SUM(C73:I73))</f>
        <v/>
      </c>
      <c r="K73" s="260"/>
      <c r="L73" s="261"/>
      <c r="M73" s="260"/>
      <c r="N73" s="257"/>
      <c r="O73" s="261"/>
      <c r="P73" s="262" t="str">
        <f>IF(OR(B73="",COUNT(K73:O73)=0),"",SUM(K73:O73))</f>
        <v/>
      </c>
      <c r="Q73" s="263" t="str">
        <f>IF(OR(B73="",COUNT(C73:I73)+COUNT(K73:O73)=0),"",ROUND(SUM(P73,J73),0))</f>
        <v/>
      </c>
      <c r="R73" s="266" t="str">
        <f ca="1">IF(Q73="","",IF(AP!$E$42="BE",INDIRECT("AP!P"&amp;MATCH(100*Q73/AP!$E$44,AP!$Q$4:$Q$20,-1)+4),Q73))</f>
        <v/>
      </c>
      <c r="S73" s="540"/>
      <c r="T73" s="542"/>
      <c r="U73" s="552"/>
      <c r="V73" s="554" t="str">
        <f>IF(B73="","",SUM(S73:U73))</f>
        <v/>
      </c>
      <c r="W73" s="556" t="str">
        <f>IF(B73="","",IF(ISBLANK(S73),"",IF(AVERAGE(S73:U73)&lt;10,LEFT(AVERAGE(S73:U73),4),LEFT(AVERAGE(S73:U73),5))))</f>
        <v/>
      </c>
      <c r="X73" s="558" t="str">
        <f>IF(B73="","",IF(W73="","",IF(LEFT(W73,1)="0",0,ROUND(W73,0))))</f>
        <v/>
      </c>
      <c r="Y73" s="265" t="str">
        <f>IF(B73="","",ROUNDUP(AVERAGE(R73,R73,X73),2))</f>
        <v/>
      </c>
      <c r="Z73" s="266" t="str">
        <f>IF(B73="","",IF(TRUNC(Y73,0)=0,0,ROUND(Y73,0)))</f>
        <v/>
      </c>
    </row>
    <row r="74" spans="1:26" ht="13.5" customHeight="1" thickBot="1" x14ac:dyDescent="0.25">
      <c r="A74" s="539"/>
      <c r="B74" s="539"/>
      <c r="C74" s="279"/>
      <c r="D74" s="268"/>
      <c r="E74" s="268"/>
      <c r="F74" s="268"/>
      <c r="G74" s="268"/>
      <c r="H74" s="268"/>
      <c r="I74" s="268"/>
      <c r="J74" s="283" t="str">
        <f>IF(OR(B73="",COUNT(C74:I74)=0),"",SUM(C74:I74))</f>
        <v/>
      </c>
      <c r="K74" s="268"/>
      <c r="L74" s="268"/>
      <c r="M74" s="281"/>
      <c r="N74" s="268"/>
      <c r="O74" s="282"/>
      <c r="P74" s="280" t="str">
        <f>IF(OR(B73="",COUNT(K74:O74)=0),"",SUM(K74:O74))</f>
        <v/>
      </c>
      <c r="Q74" s="273" t="str">
        <f>IF(OR(B73="",COUNT(C74:I74)+COUNT(K74:O74)=0),"",ROUND(SUM(P74,J74),0))</f>
        <v/>
      </c>
      <c r="R74" s="344" t="str">
        <f ca="1">IF(Q74="","",IF(AP!$E$42="BE",INDIRECT("AP!P"&amp;MATCH(100*Q74/AP!$E$44,AP!$Q$4:$Q$20,-1)+4),Q74))</f>
        <v/>
      </c>
      <c r="S74" s="541"/>
      <c r="T74" s="543"/>
      <c r="U74" s="553"/>
      <c r="V74" s="555"/>
      <c r="W74" s="557"/>
      <c r="X74" s="559"/>
      <c r="Y74" s="274" t="str">
        <f>IF(B73="","",ROUNDUP(AVERAGE(R74,R74,X73),2))</f>
        <v/>
      </c>
      <c r="Z74" s="275" t="str">
        <f>IF(B73="","",IF(TRUNC(Y74,0)=0,0,ROUND(Y74,0)))</f>
        <v/>
      </c>
    </row>
    <row r="75" spans="1:26" ht="12.75" customHeight="1" x14ac:dyDescent="0.2">
      <c r="A75" s="538">
        <v>33</v>
      </c>
      <c r="B75" s="538" t="str">
        <f>IF('1. Halbjahr'!B36&lt;&gt;"", '1. Halbjahr'!B36, "")</f>
        <v/>
      </c>
      <c r="C75" s="276"/>
      <c r="D75" s="257"/>
      <c r="E75" s="257"/>
      <c r="F75" s="257"/>
      <c r="G75" s="257"/>
      <c r="H75" s="257"/>
      <c r="I75" s="257"/>
      <c r="J75" s="277" t="str">
        <f>IF(OR(B75="",COUNT(C75:I75)=0),"",SUM(C75:I75))</f>
        <v/>
      </c>
      <c r="K75" s="260"/>
      <c r="L75" s="261"/>
      <c r="M75" s="260"/>
      <c r="N75" s="257"/>
      <c r="O75" s="261"/>
      <c r="P75" s="262" t="str">
        <f>IF(OR(B75="",COUNT(K75:O75)=0),"",SUM(K75:O75))</f>
        <v/>
      </c>
      <c r="Q75" s="263" t="str">
        <f>IF(OR(B75="",COUNT(C75:I75)+COUNT(K75:O75)=0),"",ROUND(SUM(P75,J75),0))</f>
        <v/>
      </c>
      <c r="R75" s="266" t="str">
        <f ca="1">IF(Q75="","",IF(AP!$E$42="BE",INDIRECT("AP!P"&amp;MATCH(100*Q75/AP!$E$44,AP!$Q$4:$Q$20,-1)+4),Q75))</f>
        <v/>
      </c>
      <c r="S75" s="540"/>
      <c r="T75" s="542"/>
      <c r="U75" s="552"/>
      <c r="V75" s="554" t="str">
        <f>IF(B75="","",SUM(S75:U75))</f>
        <v/>
      </c>
      <c r="W75" s="556" t="str">
        <f>IF(B75="","",IF(ISBLANK(S75),"",IF(AVERAGE(S75:U75)&lt;10,LEFT(AVERAGE(S75:U75),4),LEFT(AVERAGE(S75:U75),5))))</f>
        <v/>
      </c>
      <c r="X75" s="558" t="str">
        <f>IF(B75="","",IF(W75="","",IF(LEFT(W75,1)="0",0,ROUND(W75,0))))</f>
        <v/>
      </c>
      <c r="Y75" s="265" t="str">
        <f>IF(B75="","",ROUNDUP(AVERAGE(R75,R75,X75),2))</f>
        <v/>
      </c>
      <c r="Z75" s="266" t="str">
        <f>IF(B75="","",IF(TRUNC(Y75,0)=0,0,ROUND(Y75,0)))</f>
        <v/>
      </c>
    </row>
    <row r="76" spans="1:26" ht="13.5" customHeight="1" thickBot="1" x14ac:dyDescent="0.25">
      <c r="A76" s="539"/>
      <c r="B76" s="539"/>
      <c r="C76" s="279"/>
      <c r="D76" s="268"/>
      <c r="E76" s="268"/>
      <c r="F76" s="268"/>
      <c r="G76" s="268"/>
      <c r="H76" s="268"/>
      <c r="I76" s="268"/>
      <c r="J76" s="280" t="str">
        <f>IF(OR(B75="",COUNT(C76:I76)=0),"",SUM(C76:I76))</f>
        <v/>
      </c>
      <c r="K76" s="268"/>
      <c r="L76" s="268"/>
      <c r="M76" s="281"/>
      <c r="N76" s="268"/>
      <c r="O76" s="282"/>
      <c r="P76" s="280" t="str">
        <f>IF(OR(B75="",COUNT(K76:O76)=0),"",SUM(K76:O76))</f>
        <v/>
      </c>
      <c r="Q76" s="273" t="str">
        <f>IF(OR(B75="",COUNT(C76:I76)+COUNT(K76:O76)=0),"",ROUND(SUM(P76,J76),0))</f>
        <v/>
      </c>
      <c r="R76" s="286" t="str">
        <f ca="1">IF(Q76="","",IF(AP!$E$42="BE",INDIRECT("AP!P"&amp;MATCH(100*Q76/AP!$E$44,AP!$Q$4:$Q$20,-1)+4),Q76))</f>
        <v/>
      </c>
      <c r="S76" s="541"/>
      <c r="T76" s="543"/>
      <c r="U76" s="553"/>
      <c r="V76" s="555"/>
      <c r="W76" s="557"/>
      <c r="X76" s="559"/>
      <c r="Y76" s="274" t="str">
        <f>IF(B75="","",ROUNDUP(AVERAGE(R76,R76,X75),2))</f>
        <v/>
      </c>
      <c r="Z76" s="275" t="str">
        <f>IF(B75="","",IF(TRUNC(Y76,0)=0,0,ROUND(Y76,0)))</f>
        <v/>
      </c>
    </row>
    <row r="77" spans="1:26" ht="12.75" customHeight="1" x14ac:dyDescent="0.2">
      <c r="A77" s="538">
        <v>34</v>
      </c>
      <c r="B77" s="538" t="str">
        <f>IF('1. Halbjahr'!B37&lt;&gt;"", '1. Halbjahr'!B37, "")</f>
        <v/>
      </c>
      <c r="C77" s="276"/>
      <c r="D77" s="257"/>
      <c r="E77" s="257"/>
      <c r="F77" s="257"/>
      <c r="G77" s="257"/>
      <c r="H77" s="257"/>
      <c r="I77" s="257"/>
      <c r="J77" s="259" t="str">
        <f>IF(OR(B77="",COUNT(C77:I77)=0),"",SUM(C77:I77))</f>
        <v/>
      </c>
      <c r="K77" s="260"/>
      <c r="L77" s="261"/>
      <c r="M77" s="260"/>
      <c r="N77" s="257"/>
      <c r="O77" s="261"/>
      <c r="P77" s="262" t="str">
        <f>IF(OR(B77="",COUNT(K77:O77)=0),"",SUM(K77:O77))</f>
        <v/>
      </c>
      <c r="Q77" s="263" t="str">
        <f>IF(OR(B77="",COUNT(C77:I77)+COUNT(K77:O77)=0),"",ROUND(SUM(P77,J77),0))</f>
        <v/>
      </c>
      <c r="R77" s="264" t="str">
        <f ca="1">IF(Q77="","",IF(AP!$E$42="BE",INDIRECT("AP!P"&amp;MATCH(100*Q77/AP!$E$44,AP!$Q$4:$Q$20,-1)+4),Q77))</f>
        <v/>
      </c>
      <c r="S77" s="540"/>
      <c r="T77" s="542"/>
      <c r="U77" s="552"/>
      <c r="V77" s="554" t="str">
        <f>IF(B77="","",SUM(S77:U77))</f>
        <v/>
      </c>
      <c r="W77" s="556" t="str">
        <f>IF(B77="","",IF(ISBLANK(S77),"",IF(AVERAGE(S77:U77)&lt;10,LEFT(AVERAGE(S77:U77),4),LEFT(AVERAGE(S77:U77),5))))</f>
        <v/>
      </c>
      <c r="X77" s="558" t="str">
        <f>IF(B77="","",IF(W77="","",IF(LEFT(W77,1)="0",0,ROUND(W77,0))))</f>
        <v/>
      </c>
      <c r="Y77" s="265" t="str">
        <f>IF(B77="","",ROUNDUP(AVERAGE(R77,R77,X77),2))</f>
        <v/>
      </c>
      <c r="Z77" s="266" t="str">
        <f>IF(B77="","",IF(TRUNC(Y77,0)=0,0,ROUND(Y77,0)))</f>
        <v/>
      </c>
    </row>
    <row r="78" spans="1:26" ht="13.5" customHeight="1" thickBot="1" x14ac:dyDescent="0.25">
      <c r="A78" s="539"/>
      <c r="B78" s="539"/>
      <c r="C78" s="279"/>
      <c r="D78" s="268"/>
      <c r="E78" s="268"/>
      <c r="F78" s="268"/>
      <c r="G78" s="268"/>
      <c r="H78" s="268"/>
      <c r="I78" s="268"/>
      <c r="J78" s="283" t="str">
        <f>IF(OR(B77="",COUNT(C78:I78)=0),"",SUM(C78:I78))</f>
        <v/>
      </c>
      <c r="K78" s="268"/>
      <c r="L78" s="268"/>
      <c r="M78" s="281"/>
      <c r="N78" s="268"/>
      <c r="O78" s="282"/>
      <c r="P78" s="280" t="str">
        <f>IF(OR(B77="",COUNT(K78:O78)=0),"",SUM(K78:O78))</f>
        <v/>
      </c>
      <c r="Q78" s="273" t="str">
        <f>IF(OR(B77="",COUNT(C78:I78)+COUNT(K78:O78)=0),"",ROUND(SUM(P78,J78),0))</f>
        <v/>
      </c>
      <c r="R78" s="286" t="str">
        <f ca="1">IF(Q78="","",IF(AP!$E$42="BE",INDIRECT("AP!P"&amp;MATCH(100*Q78/AP!$E$44,AP!$Q$4:$Q$20,-1)+4),Q78))</f>
        <v/>
      </c>
      <c r="S78" s="560"/>
      <c r="T78" s="561"/>
      <c r="U78" s="562"/>
      <c r="V78" s="563"/>
      <c r="W78" s="557"/>
      <c r="X78" s="559"/>
      <c r="Y78" s="287" t="str">
        <f>IF(B77="","",ROUNDUP(AVERAGE(R78,R78,X77),2))</f>
        <v/>
      </c>
      <c r="Z78" s="275" t="str">
        <f>IF(B77="","",IF(TRUNC(Y78,0)=0,0,ROUND(Y78,0)))</f>
        <v/>
      </c>
    </row>
    <row r="79" spans="1:26" ht="12.75" customHeight="1" x14ac:dyDescent="0.2">
      <c r="A79" s="538">
        <v>35</v>
      </c>
      <c r="B79" s="538" t="str">
        <f>IF('1. Halbjahr'!B38&lt;&gt;"", '1. Halbjahr'!B38, "")</f>
        <v/>
      </c>
      <c r="C79" s="276"/>
      <c r="D79" s="257"/>
      <c r="E79" s="257"/>
      <c r="F79" s="257"/>
      <c r="G79" s="257"/>
      <c r="H79" s="257"/>
      <c r="I79" s="257"/>
      <c r="J79" s="259" t="str">
        <f>IF(OR(B79="",COUNT(C79:I79)=0),"",SUM(C79:I79))</f>
        <v/>
      </c>
      <c r="K79" s="260"/>
      <c r="L79" s="261"/>
      <c r="M79" s="260"/>
      <c r="N79" s="257"/>
      <c r="O79" s="261"/>
      <c r="P79" s="262" t="str">
        <f>IF(OR(B79="",COUNT(K79:O79)=0),"",SUM(K79:O79))</f>
        <v/>
      </c>
      <c r="Q79" s="263" t="str">
        <f>IF(OR(B79="",COUNT(C79:I79)+COUNT(K79:O79)=0),"",ROUND(SUM(P79,J79),0))</f>
        <v/>
      </c>
      <c r="R79" s="264" t="str">
        <f ca="1">IF(Q79="","",IF(AP!$E$42="BE",INDIRECT("AP!P"&amp;MATCH(100*Q79/AP!$E$44,AP!$Q$4:$Q$20,-1)+4),Q79))</f>
        <v/>
      </c>
      <c r="S79" s="540"/>
      <c r="T79" s="542"/>
      <c r="U79" s="552"/>
      <c r="V79" s="554" t="str">
        <f>IF(B79="","",SUM(S79:U79))</f>
        <v/>
      </c>
      <c r="W79" s="556" t="str">
        <f>IF(B79="","",IF(ISBLANK(S79),"",IF(AVERAGE(S79:U79)&lt;10,LEFT(AVERAGE(S79:U79),4),LEFT(AVERAGE(S79:U79),5))))</f>
        <v/>
      </c>
      <c r="X79" s="558" t="str">
        <f>IF(B79="","",IF(W79="","",IF(LEFT(W79,1)="0",0,ROUND(W79,0))))</f>
        <v/>
      </c>
      <c r="Y79" s="265" t="str">
        <f>IF(B79="","",ROUNDUP(AVERAGE(R79,R79,X79),2))</f>
        <v/>
      </c>
      <c r="Z79" s="266" t="str">
        <f>IF(B79="","",IF(TRUNC(Y79,0)=0,0,ROUND(Y79,0)))</f>
        <v/>
      </c>
    </row>
    <row r="80" spans="1:26" ht="13.5" customHeight="1" thickBot="1" x14ac:dyDescent="0.25">
      <c r="A80" s="539"/>
      <c r="B80" s="539"/>
      <c r="C80" s="284"/>
      <c r="D80" s="285"/>
      <c r="E80" s="285"/>
      <c r="F80" s="285"/>
      <c r="G80" s="285"/>
      <c r="H80" s="285"/>
      <c r="I80" s="285"/>
      <c r="J80" s="288" t="str">
        <f>IF(OR(B79="",COUNT(C80:I80)=0),"",SUM(C80:I80))</f>
        <v/>
      </c>
      <c r="K80" s="285"/>
      <c r="L80" s="285"/>
      <c r="M80" s="270"/>
      <c r="N80" s="285"/>
      <c r="O80" s="271"/>
      <c r="P80" s="280" t="str">
        <f>IF(OR(B79="",COUNT(K80:O80)=0),"",SUM(K80:O80))</f>
        <v/>
      </c>
      <c r="Q80" s="273" t="str">
        <f>IF(OR(B79="",COUNT(C80:I80)+COUNT(K80:O80)=0),"",ROUND(SUM(P80,J80),0))</f>
        <v/>
      </c>
      <c r="R80" s="286" t="str">
        <f ca="1">IF(Q80="","",IF(AP!$E$42="BE",INDIRECT("AP!P"&amp;MATCH(100*Q80/AP!$E$44,AP!$Q$4:$Q$20,-1)+4),Q80))</f>
        <v/>
      </c>
      <c r="S80" s="541"/>
      <c r="T80" s="543"/>
      <c r="U80" s="553"/>
      <c r="V80" s="555"/>
      <c r="W80" s="557"/>
      <c r="X80" s="559"/>
      <c r="Y80" s="274" t="str">
        <f>IF(B79="","",ROUNDUP(AVERAGE(R80,R80,X79),2))</f>
        <v/>
      </c>
      <c r="Z80" s="286" t="str">
        <f>IF(B79="","",IF(TRUNC(Y80,0)=0,0,ROUND(Y80,0)))</f>
        <v/>
      </c>
    </row>
    <row r="81" spans="10:21" x14ac:dyDescent="0.2">
      <c r="J81" s="289"/>
      <c r="S81" s="290"/>
      <c r="T81" s="290"/>
      <c r="U81" s="290"/>
    </row>
    <row r="82" spans="10:21" x14ac:dyDescent="0.2">
      <c r="S82" s="290"/>
      <c r="T82" s="290"/>
      <c r="U82" s="290"/>
    </row>
    <row r="83" spans="10:21" x14ac:dyDescent="0.2">
      <c r="S83" s="290"/>
      <c r="T83" s="290"/>
      <c r="U83" s="290"/>
    </row>
  </sheetData>
  <sheetProtection algorithmName="SHA-512" hashValue="MP4p+miPz8A/zV+W16Agbly2yeiPfRWRuPYG2PSyyMmyhwIWDBl5r2fJsl74iX77TgYMFZs024fYqdx3rIlvkw==" saltValue="G2QpsDcpT+qU3FqHOHn5ZA==" spinCount="100000" sheet="1" objects="1" scenarios="1" selectLockedCells="1"/>
  <mergeCells count="288">
    <mergeCell ref="W77:W78"/>
    <mergeCell ref="X77:X78"/>
    <mergeCell ref="A79:A80"/>
    <mergeCell ref="B79:B80"/>
    <mergeCell ref="S79:S80"/>
    <mergeCell ref="T79:T80"/>
    <mergeCell ref="U79:U80"/>
    <mergeCell ref="V79:V80"/>
    <mergeCell ref="W79:W80"/>
    <mergeCell ref="X79:X80"/>
    <mergeCell ref="A77:A78"/>
    <mergeCell ref="B77:B78"/>
    <mergeCell ref="S77:S78"/>
    <mergeCell ref="T77:T78"/>
    <mergeCell ref="U77:U78"/>
    <mergeCell ref="V77:V78"/>
    <mergeCell ref="W73:W74"/>
    <mergeCell ref="X73:X74"/>
    <mergeCell ref="A75:A76"/>
    <mergeCell ref="B75:B76"/>
    <mergeCell ref="S75:S76"/>
    <mergeCell ref="T75:T76"/>
    <mergeCell ref="U75:U76"/>
    <mergeCell ref="V75:V76"/>
    <mergeCell ref="W75:W76"/>
    <mergeCell ref="X75:X76"/>
    <mergeCell ref="A73:A74"/>
    <mergeCell ref="B73:B74"/>
    <mergeCell ref="S73:S74"/>
    <mergeCell ref="T73:T74"/>
    <mergeCell ref="U73:U74"/>
    <mergeCell ref="V73:V74"/>
    <mergeCell ref="W69:W70"/>
    <mergeCell ref="X69:X70"/>
    <mergeCell ref="A71:A72"/>
    <mergeCell ref="B71:B72"/>
    <mergeCell ref="S71:S72"/>
    <mergeCell ref="T71:T72"/>
    <mergeCell ref="U71:U72"/>
    <mergeCell ref="V71:V72"/>
    <mergeCell ref="W71:W72"/>
    <mergeCell ref="X71:X72"/>
    <mergeCell ref="A69:A70"/>
    <mergeCell ref="B69:B70"/>
    <mergeCell ref="S69:S70"/>
    <mergeCell ref="T69:T70"/>
    <mergeCell ref="U69:U70"/>
    <mergeCell ref="V69:V70"/>
    <mergeCell ref="W65:W66"/>
    <mergeCell ref="X65:X66"/>
    <mergeCell ref="A67:A68"/>
    <mergeCell ref="B67:B68"/>
    <mergeCell ref="S67:S68"/>
    <mergeCell ref="T67:T68"/>
    <mergeCell ref="U67:U68"/>
    <mergeCell ref="V67:V68"/>
    <mergeCell ref="W67:W68"/>
    <mergeCell ref="X67:X68"/>
    <mergeCell ref="A65:A66"/>
    <mergeCell ref="B65:B66"/>
    <mergeCell ref="S65:S66"/>
    <mergeCell ref="T65:T66"/>
    <mergeCell ref="U65:U66"/>
    <mergeCell ref="V65:V66"/>
    <mergeCell ref="W61:W62"/>
    <mergeCell ref="X61:X62"/>
    <mergeCell ref="A63:A64"/>
    <mergeCell ref="B63:B64"/>
    <mergeCell ref="S63:S64"/>
    <mergeCell ref="T63:T64"/>
    <mergeCell ref="U63:U64"/>
    <mergeCell ref="V63:V64"/>
    <mergeCell ref="W63:W64"/>
    <mergeCell ref="X63:X64"/>
    <mergeCell ref="A61:A62"/>
    <mergeCell ref="B61:B62"/>
    <mergeCell ref="S61:S62"/>
    <mergeCell ref="T61:T62"/>
    <mergeCell ref="U61:U62"/>
    <mergeCell ref="V61:V62"/>
    <mergeCell ref="W57:W58"/>
    <mergeCell ref="X57:X58"/>
    <mergeCell ref="A59:A60"/>
    <mergeCell ref="B59:B60"/>
    <mergeCell ref="S59:S60"/>
    <mergeCell ref="T59:T60"/>
    <mergeCell ref="U59:U60"/>
    <mergeCell ref="V59:V60"/>
    <mergeCell ref="W59:W60"/>
    <mergeCell ref="X59:X60"/>
    <mergeCell ref="A57:A58"/>
    <mergeCell ref="B57:B58"/>
    <mergeCell ref="S57:S58"/>
    <mergeCell ref="T57:T58"/>
    <mergeCell ref="U57:U58"/>
    <mergeCell ref="V57:V58"/>
    <mergeCell ref="W53:W54"/>
    <mergeCell ref="X53:X54"/>
    <mergeCell ref="A55:A56"/>
    <mergeCell ref="B55:B56"/>
    <mergeCell ref="S55:S56"/>
    <mergeCell ref="T55:T56"/>
    <mergeCell ref="U55:U56"/>
    <mergeCell ref="V55:V56"/>
    <mergeCell ref="W55:W56"/>
    <mergeCell ref="X55:X56"/>
    <mergeCell ref="A53:A54"/>
    <mergeCell ref="B53:B54"/>
    <mergeCell ref="S53:S54"/>
    <mergeCell ref="T53:T54"/>
    <mergeCell ref="U53:U54"/>
    <mergeCell ref="V53:V54"/>
    <mergeCell ref="W49:W50"/>
    <mergeCell ref="X49:X50"/>
    <mergeCell ref="A51:A52"/>
    <mergeCell ref="B51:B52"/>
    <mergeCell ref="S51:S52"/>
    <mergeCell ref="T51:T52"/>
    <mergeCell ref="U51:U52"/>
    <mergeCell ref="V51:V52"/>
    <mergeCell ref="W51:W52"/>
    <mergeCell ref="X51:X52"/>
    <mergeCell ref="A49:A50"/>
    <mergeCell ref="B49:B50"/>
    <mergeCell ref="S49:S50"/>
    <mergeCell ref="T49:T50"/>
    <mergeCell ref="U49:U50"/>
    <mergeCell ref="V49:V50"/>
    <mergeCell ref="W45:W46"/>
    <mergeCell ref="X45:X46"/>
    <mergeCell ref="A47:A48"/>
    <mergeCell ref="B47:B48"/>
    <mergeCell ref="S47:S48"/>
    <mergeCell ref="T47:T48"/>
    <mergeCell ref="U47:U48"/>
    <mergeCell ref="V47:V48"/>
    <mergeCell ref="W47:W48"/>
    <mergeCell ref="X47:X48"/>
    <mergeCell ref="A45:A46"/>
    <mergeCell ref="B45:B46"/>
    <mergeCell ref="S45:S46"/>
    <mergeCell ref="T45:T46"/>
    <mergeCell ref="U45:U46"/>
    <mergeCell ref="V45:V46"/>
    <mergeCell ref="W41:W42"/>
    <mergeCell ref="X41:X42"/>
    <mergeCell ref="A43:A44"/>
    <mergeCell ref="B43:B44"/>
    <mergeCell ref="S43:S44"/>
    <mergeCell ref="T43:T44"/>
    <mergeCell ref="U43:U44"/>
    <mergeCell ref="V43:V44"/>
    <mergeCell ref="W43:W44"/>
    <mergeCell ref="X43:X44"/>
    <mergeCell ref="A41:A42"/>
    <mergeCell ref="B41:B42"/>
    <mergeCell ref="S41:S42"/>
    <mergeCell ref="T41:T42"/>
    <mergeCell ref="U41:U42"/>
    <mergeCell ref="V41:V42"/>
    <mergeCell ref="W37:W38"/>
    <mergeCell ref="X37:X38"/>
    <mergeCell ref="A39:A40"/>
    <mergeCell ref="B39:B40"/>
    <mergeCell ref="S39:S40"/>
    <mergeCell ref="T39:T40"/>
    <mergeCell ref="U39:U40"/>
    <mergeCell ref="V39:V40"/>
    <mergeCell ref="W39:W40"/>
    <mergeCell ref="X39:X40"/>
    <mergeCell ref="A37:A38"/>
    <mergeCell ref="B37:B38"/>
    <mergeCell ref="S37:S38"/>
    <mergeCell ref="T37:T38"/>
    <mergeCell ref="U37:U38"/>
    <mergeCell ref="V37:V38"/>
    <mergeCell ref="W33:W34"/>
    <mergeCell ref="X33:X34"/>
    <mergeCell ref="A35:A36"/>
    <mergeCell ref="B35:B36"/>
    <mergeCell ref="S35:S36"/>
    <mergeCell ref="T35:T36"/>
    <mergeCell ref="U35:U36"/>
    <mergeCell ref="V35:V36"/>
    <mergeCell ref="W35:W36"/>
    <mergeCell ref="X35:X36"/>
    <mergeCell ref="A33:A34"/>
    <mergeCell ref="B33:B34"/>
    <mergeCell ref="S33:S34"/>
    <mergeCell ref="T33:T34"/>
    <mergeCell ref="U33:U34"/>
    <mergeCell ref="V33:V34"/>
    <mergeCell ref="W29:W30"/>
    <mergeCell ref="X29:X30"/>
    <mergeCell ref="A31:A32"/>
    <mergeCell ref="B31:B32"/>
    <mergeCell ref="S31:S32"/>
    <mergeCell ref="T31:T32"/>
    <mergeCell ref="U31:U32"/>
    <mergeCell ref="V31:V32"/>
    <mergeCell ref="W31:W32"/>
    <mergeCell ref="X31:X32"/>
    <mergeCell ref="A29:A30"/>
    <mergeCell ref="B29:B30"/>
    <mergeCell ref="S29:S30"/>
    <mergeCell ref="T29:T30"/>
    <mergeCell ref="U29:U30"/>
    <mergeCell ref="V29:V30"/>
    <mergeCell ref="W25:W26"/>
    <mergeCell ref="X25:X26"/>
    <mergeCell ref="A27:A28"/>
    <mergeCell ref="B27:B28"/>
    <mergeCell ref="S27:S28"/>
    <mergeCell ref="T27:T28"/>
    <mergeCell ref="U27:U28"/>
    <mergeCell ref="V27:V28"/>
    <mergeCell ref="W27:W28"/>
    <mergeCell ref="X27:X28"/>
    <mergeCell ref="A25:A26"/>
    <mergeCell ref="B25:B26"/>
    <mergeCell ref="S25:S26"/>
    <mergeCell ref="T25:T26"/>
    <mergeCell ref="U25:U26"/>
    <mergeCell ref="V25:V26"/>
    <mergeCell ref="W21:W22"/>
    <mergeCell ref="X21:X22"/>
    <mergeCell ref="A23:A24"/>
    <mergeCell ref="B23:B24"/>
    <mergeCell ref="S23:S24"/>
    <mergeCell ref="T23:T24"/>
    <mergeCell ref="U23:U24"/>
    <mergeCell ref="V23:V24"/>
    <mergeCell ref="W23:W24"/>
    <mergeCell ref="X23:X24"/>
    <mergeCell ref="A21:A22"/>
    <mergeCell ref="B21:B22"/>
    <mergeCell ref="S21:S22"/>
    <mergeCell ref="T21:T22"/>
    <mergeCell ref="U21:U22"/>
    <mergeCell ref="V21:V22"/>
    <mergeCell ref="W17:W18"/>
    <mergeCell ref="X17:X18"/>
    <mergeCell ref="A19:A20"/>
    <mergeCell ref="B19:B20"/>
    <mergeCell ref="S19:S20"/>
    <mergeCell ref="T19:T20"/>
    <mergeCell ref="U19:U20"/>
    <mergeCell ref="V19:V20"/>
    <mergeCell ref="W19:W20"/>
    <mergeCell ref="X19:X20"/>
    <mergeCell ref="A17:A18"/>
    <mergeCell ref="B17:B18"/>
    <mergeCell ref="S17:S18"/>
    <mergeCell ref="T17:T18"/>
    <mergeCell ref="U17:U18"/>
    <mergeCell ref="V17:V18"/>
    <mergeCell ref="A13:A14"/>
    <mergeCell ref="B13:B14"/>
    <mergeCell ref="S13:S14"/>
    <mergeCell ref="T13:T14"/>
    <mergeCell ref="U13:U14"/>
    <mergeCell ref="V13:V14"/>
    <mergeCell ref="W13:W14"/>
    <mergeCell ref="X13:X14"/>
    <mergeCell ref="A15:A16"/>
    <mergeCell ref="B15:B16"/>
    <mergeCell ref="S15:S16"/>
    <mergeCell ref="T15:T16"/>
    <mergeCell ref="U15:U16"/>
    <mergeCell ref="V15:V16"/>
    <mergeCell ref="W15:W16"/>
    <mergeCell ref="X15:X16"/>
    <mergeCell ref="K8:L8"/>
    <mergeCell ref="M8:O8"/>
    <mergeCell ref="A11:A12"/>
    <mergeCell ref="B11:B12"/>
    <mergeCell ref="S11:S12"/>
    <mergeCell ref="T11:T12"/>
    <mergeCell ref="C6:R6"/>
    <mergeCell ref="S6:X6"/>
    <mergeCell ref="Y6:Z6"/>
    <mergeCell ref="C7:J7"/>
    <mergeCell ref="K7:P7"/>
    <mergeCell ref="S7:V7"/>
    <mergeCell ref="U11:U12"/>
    <mergeCell ref="V11:V12"/>
    <mergeCell ref="W11:W12"/>
    <mergeCell ref="X11:X12"/>
  </mergeCells>
  <conditionalFormatting sqref="C11 C15 C17 C19 C21 C23 C25 C27 C29 C31 C33 C35 C37 C39 C41 C43 C45 C47 C49 C51 C53 C55 C57 C59 C61 C63 C65 C67 C69 C71 C73 C75 C77 C79">
    <cfRule type="cellIs" dxfId="37" priority="21" stopIfTrue="1" operator="greaterThan">
      <formula>$C$10</formula>
    </cfRule>
  </conditionalFormatting>
  <conditionalFormatting sqref="C13">
    <cfRule type="cellIs" dxfId="36" priority="14" stopIfTrue="1" operator="greaterThan">
      <formula>$C$10</formula>
    </cfRule>
  </conditionalFormatting>
  <conditionalFormatting sqref="C8:I8">
    <cfRule type="cellIs" dxfId="35" priority="15" stopIfTrue="1" operator="equal">
      <formula>"??"</formula>
    </cfRule>
  </conditionalFormatting>
  <conditionalFormatting sqref="C10:I10">
    <cfRule type="cellIs" dxfId="34" priority="17" stopIfTrue="1" operator="equal">
      <formula>"??"</formula>
    </cfRule>
  </conditionalFormatting>
  <conditionalFormatting sqref="C12:I12 C14:I14 C16:I16 C18:I18 C20:I20">
    <cfRule type="cellIs" dxfId="33" priority="10" stopIfTrue="1" operator="notEqual">
      <formula>C11</formula>
    </cfRule>
  </conditionalFormatting>
  <conditionalFormatting sqref="C22:I22 K22:O22 C24:I24 K24:O24 C26:I26 K26:O26 C28:I28 K28:O28 C30:I30 K30:O30 C32:I32 K32:O32 C34:I34 K34:O34 C36:I36 K36:O36 C38:I38 K38:O38 C40:I40 K40:O40 C42:I42 K42:O42 C44:I44 K44:O44 C46:I46 K46:O46 C48:I48 K48:O48 C50:I50 K50:O50 C52:I52 K52:O52 C54:I54 K54:O54 C56:I56 K56:O56 C58:I58 K58:O58 C60:I60 K60:O60 C62:I62 K62:O62 C64:I64 K64:O64 C66:I66 K66:O66 C68:I68 K68:O68 C70:I70 K70:O70 C72:I72 K72:O72 C74:I74 K74:O74 C76:I76 K76:O76 C78:I78 K78:O78 C80:I80 K80:O80">
    <cfRule type="cellIs" dxfId="32" priority="35" stopIfTrue="1" operator="notEqual">
      <formula>C21</formula>
    </cfRule>
  </conditionalFormatting>
  <conditionalFormatting sqref="D11 D15 D17 D19 D21 D23 D25 D27 D29 D31 D33 D35 D37 D39 D41 D43 D45 D47 D49 D51 D53 D55 D57 D59 D61 D63 D65 D67 D69 D71 D73 D75 D77 D79">
    <cfRule type="cellIs" dxfId="31" priority="22" stopIfTrue="1" operator="greaterThan">
      <formula>$D$10</formula>
    </cfRule>
  </conditionalFormatting>
  <conditionalFormatting sqref="D13">
    <cfRule type="cellIs" dxfId="30" priority="13" stopIfTrue="1" operator="greaterThan">
      <formula>$D$10</formula>
    </cfRule>
  </conditionalFormatting>
  <conditionalFormatting sqref="E11 E15 E17 E19 E21 E23 E25 E27 E29 E31 E33 E35 E37 E39 E41 E43 E45 E47 E49 E51 E53 E55 E57 E59 E61 E63 E65 E67 E69 E71 E73 E75 E77 E79">
    <cfRule type="cellIs" dxfId="29" priority="23" stopIfTrue="1" operator="greaterThan">
      <formula>$E$10</formula>
    </cfRule>
  </conditionalFormatting>
  <conditionalFormatting sqref="E13">
    <cfRule type="cellIs" dxfId="28" priority="12" stopIfTrue="1" operator="greaterThan">
      <formula>$E$10</formula>
    </cfRule>
  </conditionalFormatting>
  <conditionalFormatting sqref="F11 F15 F17 F19 F21 F23 F25 F27 F29 F31 F33 F35 F37 F39 F41 F43 F45 F47 F49 F51 F53 F55 F57 F59 F61 F63 F65 F67 F69 F71 F73 F75 F77 F79">
    <cfRule type="cellIs" dxfId="27" priority="24" stopIfTrue="1" operator="greaterThan">
      <formula>$F$10</formula>
    </cfRule>
  </conditionalFormatting>
  <conditionalFormatting sqref="F13">
    <cfRule type="cellIs" dxfId="26" priority="11" stopIfTrue="1" operator="greaterThan">
      <formula>$F$10</formula>
    </cfRule>
  </conditionalFormatting>
  <conditionalFormatting sqref="G11 G15 G17 G19 G21 G23 G25 G27 G29 G31 G33 G35 G37 G39 G41 G43 G45 G47 G49 G51 G53 G55 G57 G59 G61 G63 G65 G67 G69 G71 G73 G75 G77 G79">
    <cfRule type="cellIs" dxfId="25" priority="36" stopIfTrue="1" operator="greaterThan">
      <formula>$G$10</formula>
    </cfRule>
  </conditionalFormatting>
  <conditionalFormatting sqref="G13">
    <cfRule type="cellIs" dxfId="24" priority="9" stopIfTrue="1" operator="greaterThan">
      <formula>$G$10</formula>
    </cfRule>
  </conditionalFormatting>
  <conditionalFormatting sqref="H11">
    <cfRule type="cellIs" dxfId="23" priority="8" stopIfTrue="1" operator="greaterThan">
      <formula>$H$10</formula>
    </cfRule>
  </conditionalFormatting>
  <conditionalFormatting sqref="H13 H15 H17 H19 H21 H23 H25 H27 H29 H31 H33 H35 H37 H39 H41 H43 H45 H47 H49 H51 H53 H55 H57 H59 H61 H63 H65 H67 H69 H71 H73 H75 H77 H79">
    <cfRule type="cellIs" dxfId="22" priority="37" stopIfTrue="1" operator="greaterThan">
      <formula>$H$10</formula>
    </cfRule>
  </conditionalFormatting>
  <conditionalFormatting sqref="I11">
    <cfRule type="cellIs" dxfId="21" priority="7" stopIfTrue="1" operator="greaterThan">
      <formula>$I$10</formula>
    </cfRule>
  </conditionalFormatting>
  <conditionalFormatting sqref="I13 I15 I17 I19 I21 I23 I25 I27 I29 I31 I33 I35 I37 I39 I41 I43 I45 I47 I49 I51 I53 I55 I57 I59 I61 I63 I65 I67 I69 I71 I73 I75 I77 I79">
    <cfRule type="cellIs" dxfId="20" priority="38" stopIfTrue="1" operator="greaterThan">
      <formula>$I$10</formula>
    </cfRule>
  </conditionalFormatting>
  <conditionalFormatting sqref="K11 K13 K15 K17 K21 K23 K25 K27 K29 K31 K33 K35 K37 K39 K41 K43 K45 K47 K49 K51 K53 K55 K57 K59 K61 K63 K65 K67 K69 K71 K73 K75 K77 K79">
    <cfRule type="cellIs" dxfId="19" priority="25" stopIfTrue="1" operator="greaterThan">
      <formula>$K$10</formula>
    </cfRule>
  </conditionalFormatting>
  <conditionalFormatting sqref="K19">
    <cfRule type="cellIs" dxfId="18" priority="6" stopIfTrue="1" operator="greaterThan">
      <formula>$K$10</formula>
    </cfRule>
  </conditionalFormatting>
  <conditionalFormatting sqref="K10:O10">
    <cfRule type="cellIs" dxfId="17" priority="16" stopIfTrue="1" operator="equal">
      <formula>"??"</formula>
    </cfRule>
  </conditionalFormatting>
  <conditionalFormatting sqref="K12:O12 K14:O14 K16:O16 K18:O18 K20:O20">
    <cfRule type="cellIs" dxfId="16" priority="1" stopIfTrue="1" operator="notEqual">
      <formula>K11</formula>
    </cfRule>
  </conditionalFormatting>
  <conditionalFormatting sqref="L11 L13 L15 L17 L21 L23 L25 L27 L29 L31 L33 L35 L37 L39 L41 L43 L45 L47 L49 L51 L53 L55 L57 L59 L61 L63 L65 L67 L69 L71 L73 L75 L77 L79">
    <cfRule type="cellIs" dxfId="15" priority="26" stopIfTrue="1" operator="greaterThan">
      <formula>$L$10</formula>
    </cfRule>
  </conditionalFormatting>
  <conditionalFormatting sqref="L19">
    <cfRule type="cellIs" dxfId="14" priority="5" stopIfTrue="1" operator="greaterThan">
      <formula>$L$10</formula>
    </cfRule>
  </conditionalFormatting>
  <conditionalFormatting sqref="M11 M13 M15 M17 M21 M23 M25 M27 M29 M31 M33 M35 M37 M39 M41 M43 M45 M47 M49 M51 M53 M55 M57 M59 M61 M63 M65 M67 M69 M71 M73 M75 M77 M79">
    <cfRule type="cellIs" dxfId="13" priority="27" stopIfTrue="1" operator="greaterThan">
      <formula>$M$10</formula>
    </cfRule>
  </conditionalFormatting>
  <conditionalFormatting sqref="M19">
    <cfRule type="cellIs" dxfId="12" priority="4" stopIfTrue="1" operator="greaterThan">
      <formula>$M$10</formula>
    </cfRule>
  </conditionalFormatting>
  <conditionalFormatting sqref="N11">
    <cfRule type="cellIs" dxfId="11" priority="3" stopIfTrue="1" operator="greaterThan">
      <formula>$N$10</formula>
    </cfRule>
  </conditionalFormatting>
  <conditionalFormatting sqref="N13 N15 N17 N19 N21 N23 N25 N27 N29 N31 N33 N35 N37 N39 N41 N43 N45 N47 N49 N51 N53 N55 N57 N59 N61 N63 N65 N67 N69 N71 N73 N75 N77 N79">
    <cfRule type="cellIs" dxfId="10" priority="28" stopIfTrue="1" operator="greaterThan">
      <formula>$N$10</formula>
    </cfRule>
  </conditionalFormatting>
  <conditionalFormatting sqref="O11">
    <cfRule type="cellIs" dxfId="9" priority="2" stopIfTrue="1" operator="greaterThan">
      <formula>$O$10</formula>
    </cfRule>
  </conditionalFormatting>
  <conditionalFormatting sqref="O13 O15 O17 O19 O21 O23 O25 O27 O29 O31 O33 O35 O37 O39 O41 O43 O45 O47 O49 O51 O53 O55 O57 O59 O61 O63 O65 O67 O69 O71 O73 O75 O77 O79">
    <cfRule type="cellIs" dxfId="8" priority="29" stopIfTrue="1" operator="greaterThan">
      <formula>$O$10</formula>
    </cfRule>
  </conditionalFormatting>
  <conditionalFormatting sqref="R12 R14 R16 R18 R20 R22 R24 R26 R28 R30 R32 R34 R36 R38 R40 R42 R44 R46 R48 R50 R52 R54 R56 R58 R60 R62 R64 R66 R68 R70 R72 R74 R76 R78 R80 Z12 Z14 Z16 Z18 Z20 Z22 Z24 Z26 Z28 Z30 Z32 Z34 Z36 Z38 Z40 Z42 Z44 Z46 Z48 Z50 Z52 Z54 Z56 Z58 Z60 Z62 Z64 Z66 Z68 Z70 Z72 Z74 Z76 Z78 Z80">
    <cfRule type="cellIs" dxfId="7" priority="34" stopIfTrue="1" operator="notEqual">
      <formula>R11</formula>
    </cfRule>
  </conditionalFormatting>
  <conditionalFormatting sqref="S11">
    <cfRule type="cellIs" dxfId="6" priority="20" stopIfTrue="1" operator="greaterThan">
      <formula>$S$10</formula>
    </cfRule>
  </conditionalFormatting>
  <conditionalFormatting sqref="S13 S15 S17 S19 S21 S23 S25 S27 S29 S31 S33 S35 S37 S39 S41 S43 S45 S47 S49 S51 S53 S55 S57 S59 S61 S63 S65 S67 S69 S71 S73 S75 S77 S79">
    <cfRule type="cellIs" dxfId="5" priority="30" stopIfTrue="1" operator="greaterThan">
      <formula>$S$10</formula>
    </cfRule>
  </conditionalFormatting>
  <conditionalFormatting sqref="T11">
    <cfRule type="cellIs" dxfId="4" priority="19" stopIfTrue="1" operator="greaterThan">
      <formula>$T$10</formula>
    </cfRule>
  </conditionalFormatting>
  <conditionalFormatting sqref="T13 T15 T17 T19 T21 T23 T25 T27 T29 T31 T33 T35 T37 T39 T41 T43 T45 T47 T49 T51 T53 T55 T57 T59 T61 T63 T65 T67 T69 T71 T73 T75 T77 T79">
    <cfRule type="cellIs" dxfId="3" priority="31" stopIfTrue="1" operator="greaterThan">
      <formula>$T$10</formula>
    </cfRule>
  </conditionalFormatting>
  <conditionalFormatting sqref="U11">
    <cfRule type="cellIs" dxfId="2" priority="18" stopIfTrue="1" operator="greaterThan">
      <formula>$U$10</formula>
    </cfRule>
  </conditionalFormatting>
  <conditionalFormatting sqref="U13 U15 U17 U19 U21 U23 U25 U27 U29 U31 U33 U35 U37 U39 U41 U43 U45 U47 U49 U51 U53 U55 U57 U59 U61 U63 U65 U67 U69 U71 U73 U75 U77 U79">
    <cfRule type="cellIs" dxfId="1" priority="32" stopIfTrue="1" operator="greaterThan">
      <formula>$U$10</formula>
    </cfRule>
  </conditionalFormatting>
  <conditionalFormatting sqref="Z11 R11:R80 Z13 Z15 Z17 Z19 Z21 Z23 Z25 Z27 Z29 Z31 Z33 Z35 Z37 Z39 Z41 Z43 Z45 Z47 Z49 Z51 Z53 Z55 Z57 Z59 Z61 Z63 Z65 Z67 Z69 Z71 Z73 Z75 Z77 Z79">
    <cfRule type="cellIs" dxfId="0" priority="33" stopIfTrue="1" operator="notEqual">
      <formula>R11</formula>
    </cfRule>
  </conditionalFormatting>
  <printOptions horizontalCentered="1" gridLines="1"/>
  <pageMargins left="0.55118110236220474" right="0.47244094488188981" top="0.27559055118110237" bottom="0.23622047244094491" header="0.19685039370078741" footer="0.15748031496062992"/>
  <pageSetup paperSize="9" scale="65" fitToHeight="0" orientation="landscape" horizontalDpi="4294967293"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3"/>
  <dimension ref="A1:G39"/>
  <sheetViews>
    <sheetView workbookViewId="0"/>
  </sheetViews>
  <sheetFormatPr baseColWidth="10" defaultRowHeight="12.75" x14ac:dyDescent="0.2"/>
  <cols>
    <col min="1" max="1" width="11.42578125" style="79"/>
    <col min="2" max="2" width="23.140625" style="79" customWidth="1"/>
    <col min="3" max="4" width="11.42578125" style="79"/>
    <col min="5" max="5" width="12.140625" style="79" customWidth="1"/>
    <col min="6" max="16384" width="11.42578125" style="79"/>
  </cols>
  <sheetData>
    <row r="1" spans="1:7" ht="15" x14ac:dyDescent="0.25">
      <c r="B1" s="96" t="s">
        <v>119</v>
      </c>
      <c r="F1" s="142"/>
    </row>
    <row r="2" spans="1:7" x14ac:dyDescent="0.2">
      <c r="A2" s="80"/>
      <c r="B2" s="81" t="s">
        <v>7</v>
      </c>
      <c r="C2" s="82" t="str">
        <f>+IF('1. Halbjahr'!B1="","",'1. Halbjahr'!B1)</f>
        <v/>
      </c>
      <c r="D2" s="83"/>
      <c r="E2" s="79" t="s">
        <v>47</v>
      </c>
      <c r="G2" s="95"/>
    </row>
    <row r="3" spans="1:7" x14ac:dyDescent="0.2">
      <c r="A3" s="84" t="s">
        <v>2</v>
      </c>
      <c r="B3" s="85" t="s">
        <v>3</v>
      </c>
      <c r="C3" s="143" t="s">
        <v>46</v>
      </c>
      <c r="D3" s="345"/>
      <c r="G3" s="95"/>
    </row>
    <row r="4" spans="1:7" x14ac:dyDescent="0.2">
      <c r="A4" s="84">
        <v>1</v>
      </c>
      <c r="B4" s="85" t="str">
        <f>IF('1. Halbjahr'!B4&lt;&gt;"", '1. Halbjahr'!B4, "")</f>
        <v/>
      </c>
      <c r="C4" s="144"/>
      <c r="D4" s="346"/>
      <c r="G4" s="95"/>
    </row>
    <row r="5" spans="1:7" x14ac:dyDescent="0.2">
      <c r="A5" s="84">
        <v>2</v>
      </c>
      <c r="B5" s="85" t="str">
        <f>IF('1. Halbjahr'!B5&lt;&gt;"", '1. Halbjahr'!B5, "")</f>
        <v/>
      </c>
      <c r="C5" s="144"/>
      <c r="D5" s="346"/>
      <c r="G5" s="95"/>
    </row>
    <row r="6" spans="1:7" x14ac:dyDescent="0.2">
      <c r="A6" s="84">
        <v>3</v>
      </c>
      <c r="B6" s="85" t="str">
        <f>IF('1. Halbjahr'!B6&lt;&gt;"", '1. Halbjahr'!B6, "")</f>
        <v/>
      </c>
      <c r="C6" s="144"/>
      <c r="D6" s="346"/>
      <c r="G6" s="95"/>
    </row>
    <row r="7" spans="1:7" x14ac:dyDescent="0.2">
      <c r="A7" s="84">
        <v>4</v>
      </c>
      <c r="B7" s="85" t="str">
        <f>IF('1. Halbjahr'!B7&lt;&gt;"", '1. Halbjahr'!B7, "")</f>
        <v/>
      </c>
      <c r="C7" s="144"/>
      <c r="D7" s="346"/>
      <c r="G7" s="95"/>
    </row>
    <row r="8" spans="1:7" x14ac:dyDescent="0.2">
      <c r="A8" s="84">
        <v>5</v>
      </c>
      <c r="B8" s="85" t="str">
        <f>IF('1. Halbjahr'!B8&lt;&gt;"", '1. Halbjahr'!B8, "")</f>
        <v/>
      </c>
      <c r="C8" s="144"/>
      <c r="D8" s="346"/>
      <c r="G8" s="95"/>
    </row>
    <row r="9" spans="1:7" x14ac:dyDescent="0.2">
      <c r="A9" s="84">
        <v>6</v>
      </c>
      <c r="B9" s="85" t="str">
        <f>IF('1. Halbjahr'!B9&lt;&gt;"", '1. Halbjahr'!B9, "")</f>
        <v/>
      </c>
      <c r="C9" s="144"/>
      <c r="D9" s="346"/>
      <c r="G9" s="95"/>
    </row>
    <row r="10" spans="1:7" x14ac:dyDescent="0.2">
      <c r="A10" s="84">
        <v>7</v>
      </c>
      <c r="B10" s="85" t="str">
        <f>IF('1. Halbjahr'!B10&lt;&gt;"", '1. Halbjahr'!B10, "")</f>
        <v/>
      </c>
      <c r="C10" s="144"/>
      <c r="D10" s="346"/>
      <c r="G10" s="95"/>
    </row>
    <row r="11" spans="1:7" x14ac:dyDescent="0.2">
      <c r="A11" s="84">
        <v>8</v>
      </c>
      <c r="B11" s="85" t="str">
        <f>IF('1. Halbjahr'!B11&lt;&gt;"", '1. Halbjahr'!B11, "")</f>
        <v/>
      </c>
      <c r="C11" s="144"/>
      <c r="D11" s="346"/>
      <c r="G11" s="95"/>
    </row>
    <row r="12" spans="1:7" x14ac:dyDescent="0.2">
      <c r="A12" s="84">
        <v>9</v>
      </c>
      <c r="B12" s="85" t="str">
        <f>IF('1. Halbjahr'!B12&lt;&gt;"", '1. Halbjahr'!B12, "")</f>
        <v/>
      </c>
      <c r="C12" s="144"/>
      <c r="D12" s="346"/>
      <c r="G12" s="95"/>
    </row>
    <row r="13" spans="1:7" x14ac:dyDescent="0.2">
      <c r="A13" s="84">
        <v>10</v>
      </c>
      <c r="B13" s="85" t="str">
        <f>IF('1. Halbjahr'!B13&lt;&gt;"", '1. Halbjahr'!B13, "")</f>
        <v/>
      </c>
      <c r="C13" s="144"/>
      <c r="D13" s="346"/>
      <c r="G13" s="95"/>
    </row>
    <row r="14" spans="1:7" x14ac:dyDescent="0.2">
      <c r="A14" s="84">
        <v>11</v>
      </c>
      <c r="B14" s="85" t="str">
        <f>IF('1. Halbjahr'!B14&lt;&gt;"", '1. Halbjahr'!B14, "")</f>
        <v/>
      </c>
      <c r="C14" s="144"/>
      <c r="D14" s="346"/>
      <c r="G14" s="95"/>
    </row>
    <row r="15" spans="1:7" x14ac:dyDescent="0.2">
      <c r="A15" s="84">
        <v>12</v>
      </c>
      <c r="B15" s="85" t="str">
        <f>IF('1. Halbjahr'!B15&lt;&gt;"", '1. Halbjahr'!B15, "")</f>
        <v/>
      </c>
      <c r="C15" s="144"/>
      <c r="D15" s="346"/>
      <c r="G15" s="95"/>
    </row>
    <row r="16" spans="1:7" x14ac:dyDescent="0.2">
      <c r="A16" s="84">
        <v>13</v>
      </c>
      <c r="B16" s="85" t="str">
        <f>IF('1. Halbjahr'!B16&lt;&gt;"", '1. Halbjahr'!B16, "")</f>
        <v/>
      </c>
      <c r="C16" s="144"/>
      <c r="D16" s="346"/>
      <c r="G16" s="95"/>
    </row>
    <row r="17" spans="1:7" x14ac:dyDescent="0.2">
      <c r="A17" s="84">
        <v>14</v>
      </c>
      <c r="B17" s="85" t="str">
        <f>IF('1. Halbjahr'!B17&lt;&gt;"", '1. Halbjahr'!B17, "")</f>
        <v/>
      </c>
      <c r="C17" s="144"/>
      <c r="D17" s="346"/>
      <c r="G17" s="95"/>
    </row>
    <row r="18" spans="1:7" x14ac:dyDescent="0.2">
      <c r="A18" s="84">
        <v>15</v>
      </c>
      <c r="B18" s="85" t="str">
        <f>IF('1. Halbjahr'!B18&lt;&gt;"", '1. Halbjahr'!B18, "")</f>
        <v/>
      </c>
      <c r="C18" s="144"/>
      <c r="D18" s="346"/>
      <c r="G18" s="95"/>
    </row>
    <row r="19" spans="1:7" x14ac:dyDescent="0.2">
      <c r="A19" s="84">
        <v>16</v>
      </c>
      <c r="B19" s="85" t="str">
        <f>IF('1. Halbjahr'!B19&lt;&gt;"", '1. Halbjahr'!B19, "")</f>
        <v/>
      </c>
      <c r="C19" s="144"/>
      <c r="D19" s="346"/>
      <c r="G19" s="95"/>
    </row>
    <row r="20" spans="1:7" x14ac:dyDescent="0.2">
      <c r="A20" s="84">
        <v>17</v>
      </c>
      <c r="B20" s="85" t="str">
        <f>IF('1. Halbjahr'!B20&lt;&gt;"", '1. Halbjahr'!B20, "")</f>
        <v/>
      </c>
      <c r="C20" s="144"/>
      <c r="D20" s="346"/>
      <c r="G20" s="95"/>
    </row>
    <row r="21" spans="1:7" x14ac:dyDescent="0.2">
      <c r="A21" s="84">
        <v>18</v>
      </c>
      <c r="B21" s="85" t="str">
        <f>IF('1. Halbjahr'!B21&lt;&gt;"", '1. Halbjahr'!B21, "")</f>
        <v/>
      </c>
      <c r="C21" s="144"/>
      <c r="D21" s="346"/>
      <c r="G21" s="95"/>
    </row>
    <row r="22" spans="1:7" x14ac:dyDescent="0.2">
      <c r="A22" s="84">
        <v>19</v>
      </c>
      <c r="B22" s="85" t="str">
        <f>IF('1. Halbjahr'!B22&lt;&gt;"", '1. Halbjahr'!B22, "")</f>
        <v/>
      </c>
      <c r="C22" s="144"/>
      <c r="D22" s="346"/>
      <c r="G22" s="95"/>
    </row>
    <row r="23" spans="1:7" x14ac:dyDescent="0.2">
      <c r="A23" s="84">
        <v>20</v>
      </c>
      <c r="B23" s="85" t="str">
        <f>IF('1. Halbjahr'!B23&lt;&gt;"", '1. Halbjahr'!B23, "")</f>
        <v/>
      </c>
      <c r="C23" s="144"/>
      <c r="D23" s="346"/>
      <c r="G23" s="95"/>
    </row>
    <row r="24" spans="1:7" x14ac:dyDescent="0.2">
      <c r="A24" s="84">
        <v>21</v>
      </c>
      <c r="B24" s="85" t="str">
        <f>IF('1. Halbjahr'!B24&lt;&gt;"", '1. Halbjahr'!B24, "")</f>
        <v/>
      </c>
      <c r="C24" s="144"/>
      <c r="D24" s="346"/>
      <c r="G24" s="95"/>
    </row>
    <row r="25" spans="1:7" x14ac:dyDescent="0.2">
      <c r="A25" s="84">
        <v>22</v>
      </c>
      <c r="B25" s="85" t="str">
        <f>IF('1. Halbjahr'!B25&lt;&gt;"", '1. Halbjahr'!B25, "")</f>
        <v/>
      </c>
      <c r="C25" s="144"/>
      <c r="D25" s="346"/>
      <c r="G25" s="95"/>
    </row>
    <row r="26" spans="1:7" x14ac:dyDescent="0.2">
      <c r="A26" s="84">
        <v>23</v>
      </c>
      <c r="B26" s="85" t="str">
        <f>IF('1. Halbjahr'!B26&lt;&gt;"", '1. Halbjahr'!B26, "")</f>
        <v/>
      </c>
      <c r="C26" s="144"/>
      <c r="D26" s="346"/>
      <c r="G26" s="95"/>
    </row>
    <row r="27" spans="1:7" x14ac:dyDescent="0.2">
      <c r="A27" s="84">
        <v>24</v>
      </c>
      <c r="B27" s="85" t="str">
        <f>IF('1. Halbjahr'!B27&lt;&gt;"", '1. Halbjahr'!B27, "")</f>
        <v/>
      </c>
      <c r="C27" s="144"/>
      <c r="D27" s="346"/>
      <c r="G27" s="95"/>
    </row>
    <row r="28" spans="1:7" x14ac:dyDescent="0.2">
      <c r="A28" s="84">
        <v>25</v>
      </c>
      <c r="B28" s="85" t="str">
        <f>IF('1. Halbjahr'!B28&lt;&gt;"", '1. Halbjahr'!B28, "")</f>
        <v/>
      </c>
      <c r="C28" s="144"/>
      <c r="D28" s="346"/>
      <c r="G28" s="95"/>
    </row>
    <row r="29" spans="1:7" x14ac:dyDescent="0.2">
      <c r="A29" s="84">
        <v>26</v>
      </c>
      <c r="B29" s="85" t="str">
        <f>IF('1. Halbjahr'!B29&lt;&gt;"", '1. Halbjahr'!B29, "")</f>
        <v/>
      </c>
      <c r="C29" s="144"/>
      <c r="D29" s="346"/>
      <c r="G29" s="95"/>
    </row>
    <row r="30" spans="1:7" x14ac:dyDescent="0.2">
      <c r="A30" s="84">
        <v>27</v>
      </c>
      <c r="B30" s="85" t="str">
        <f>IF('1. Halbjahr'!B30&lt;&gt;"", '1. Halbjahr'!B30, "")</f>
        <v/>
      </c>
      <c r="C30" s="144"/>
      <c r="D30" s="346"/>
      <c r="G30" s="95"/>
    </row>
    <row r="31" spans="1:7" x14ac:dyDescent="0.2">
      <c r="A31" s="84">
        <v>28</v>
      </c>
      <c r="B31" s="85" t="str">
        <f>IF('1. Halbjahr'!B31&lt;&gt;"", '1. Halbjahr'!B31, "")</f>
        <v/>
      </c>
      <c r="C31" s="144"/>
      <c r="D31" s="346"/>
      <c r="G31" s="95"/>
    </row>
    <row r="32" spans="1:7" x14ac:dyDescent="0.2">
      <c r="A32" s="84">
        <v>29</v>
      </c>
      <c r="B32" s="85" t="str">
        <f>IF('1. Halbjahr'!B32&lt;&gt;"", '1. Halbjahr'!B32, "")</f>
        <v/>
      </c>
      <c r="C32" s="144"/>
      <c r="D32" s="346"/>
      <c r="G32" s="95"/>
    </row>
    <row r="33" spans="1:7" x14ac:dyDescent="0.2">
      <c r="A33" s="84">
        <v>30</v>
      </c>
      <c r="B33" s="85" t="str">
        <f>IF('1. Halbjahr'!B33&lt;&gt;"", '1. Halbjahr'!B33, "")</f>
        <v/>
      </c>
      <c r="C33" s="144"/>
      <c r="D33" s="346"/>
      <c r="G33" s="95"/>
    </row>
    <row r="34" spans="1:7" x14ac:dyDescent="0.2">
      <c r="A34" s="84">
        <v>31</v>
      </c>
      <c r="B34" s="85" t="str">
        <f>IF('1. Halbjahr'!B34&lt;&gt;"", '1. Halbjahr'!B34, "")</f>
        <v/>
      </c>
      <c r="C34" s="144"/>
      <c r="D34" s="346"/>
      <c r="G34" s="95"/>
    </row>
    <row r="35" spans="1:7" x14ac:dyDescent="0.2">
      <c r="A35" s="84">
        <v>32</v>
      </c>
      <c r="B35" s="85" t="str">
        <f>IF('1. Halbjahr'!B35&lt;&gt;"", '1. Halbjahr'!B35, "")</f>
        <v/>
      </c>
      <c r="C35" s="144"/>
      <c r="D35" s="346"/>
      <c r="G35" s="95"/>
    </row>
    <row r="36" spans="1:7" x14ac:dyDescent="0.2">
      <c r="A36" s="84">
        <v>33</v>
      </c>
      <c r="B36" s="85" t="str">
        <f>IF('1. Halbjahr'!B36&lt;&gt;"", '1. Halbjahr'!B36, "")</f>
        <v/>
      </c>
      <c r="C36" s="144"/>
      <c r="D36" s="346"/>
      <c r="G36" s="95"/>
    </row>
    <row r="37" spans="1:7" x14ac:dyDescent="0.2">
      <c r="A37" s="84">
        <v>34</v>
      </c>
      <c r="B37" s="85" t="str">
        <f>IF('1. Halbjahr'!B37&lt;&gt;"", '1. Halbjahr'!B37, "")</f>
        <v/>
      </c>
      <c r="C37" s="144"/>
      <c r="D37" s="346"/>
      <c r="G37" s="95"/>
    </row>
    <row r="38" spans="1:7" x14ac:dyDescent="0.2">
      <c r="A38" s="84">
        <v>35</v>
      </c>
      <c r="B38" s="85" t="str">
        <f>IF('1. Halbjahr'!B38&lt;&gt;"", '1. Halbjahr'!B38, "")</f>
        <v/>
      </c>
      <c r="C38" s="144"/>
      <c r="D38" s="346"/>
      <c r="G38" s="95"/>
    </row>
    <row r="39" spans="1:7" x14ac:dyDescent="0.2">
      <c r="A39" s="95"/>
      <c r="B39" s="95"/>
      <c r="C39" s="95"/>
      <c r="D39" s="95"/>
      <c r="E39" s="95"/>
      <c r="F39" s="95"/>
      <c r="G39" s="95"/>
    </row>
  </sheetData>
  <sheetProtection algorithmName="SHA-512" hashValue="9OiK+8CNYk0eLMwRjDhgeAkzNOwXgM81wrZkXFHNL6bw7+IcvepGaV61pHOAIbQtiHVr/VZCXhqcLgptNtPa5w==" saltValue="/tFQ6b4ML/HpEU6W3WqfxQ==" spinCount="100000" sheet="1" objects="1" scenarios="1"/>
  <dataValidations count="1">
    <dataValidation type="list" allowBlank="1" showInputMessage="1" showErrorMessage="1" sqref="D4:D38" xr:uid="{00000000-0002-0000-1500-000000000000}">
      <formula1>"FOS,BOS"</formula1>
    </dataValidation>
  </dataValidations>
  <pageMargins left="0.7" right="0.7" top="0.78740157499999996" bottom="0.78740157499999996"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22</vt:i4>
      </vt:variant>
      <vt:variant>
        <vt:lpstr>Benannte Bereiche</vt:lpstr>
      </vt:variant>
      <vt:variant>
        <vt:i4>21</vt:i4>
      </vt:variant>
    </vt:vector>
  </HeadingPairs>
  <TitlesOfParts>
    <vt:vector size="43" baseType="lpstr">
      <vt:lpstr>1. Halbjahr</vt:lpstr>
      <vt:lpstr>I1SA</vt:lpstr>
      <vt:lpstr>I2SA</vt:lpstr>
      <vt:lpstr>I1KA</vt:lpstr>
      <vt:lpstr>I2KA</vt:lpstr>
      <vt:lpstr>I1Ext</vt:lpstr>
      <vt:lpstr>I2Ext</vt:lpstr>
      <vt:lpstr>I3Ext</vt:lpstr>
      <vt:lpstr>2. Halbjahr</vt:lpstr>
      <vt:lpstr>II1SA</vt:lpstr>
      <vt:lpstr>II2SA</vt:lpstr>
      <vt:lpstr>II1KA</vt:lpstr>
      <vt:lpstr>II2KA</vt:lpstr>
      <vt:lpstr>II1Ext</vt:lpstr>
      <vt:lpstr>II2Ext</vt:lpstr>
      <vt:lpstr>II3Ext</vt:lpstr>
      <vt:lpstr>AP</vt:lpstr>
      <vt:lpstr>APRohpunkte</vt:lpstr>
      <vt:lpstr>Ausdruck SAP</vt:lpstr>
      <vt:lpstr>Ausdruck MAP</vt:lpstr>
      <vt:lpstr>Eingabe Abitur</vt:lpstr>
      <vt:lpstr>diNo</vt:lpstr>
      <vt:lpstr>'1. Halbjahr'!Druckbereich</vt:lpstr>
      <vt:lpstr>'2. Halbjahr'!Druckbereich</vt:lpstr>
      <vt:lpstr>APRohpunkte!Druckbereich</vt:lpstr>
      <vt:lpstr>'Ausdruck MAP'!Druckbereich</vt:lpstr>
      <vt:lpstr>'Ausdruck SAP'!Druckbereich</vt:lpstr>
      <vt:lpstr>'Eingabe Abitur'!Druckbereich</vt:lpstr>
      <vt:lpstr>I1Ext!Druckbereich</vt:lpstr>
      <vt:lpstr>I1KA!Druckbereich</vt:lpstr>
      <vt:lpstr>I1SA!Druckbereich</vt:lpstr>
      <vt:lpstr>I2Ext!Druckbereich</vt:lpstr>
      <vt:lpstr>I2KA!Druckbereich</vt:lpstr>
      <vt:lpstr>I2SA!Druckbereich</vt:lpstr>
      <vt:lpstr>I3Ext!Druckbereich</vt:lpstr>
      <vt:lpstr>II1Ext!Druckbereich</vt:lpstr>
      <vt:lpstr>II1KA!Druckbereich</vt:lpstr>
      <vt:lpstr>II1SA!Druckbereich</vt:lpstr>
      <vt:lpstr>II2Ext!Druckbereich</vt:lpstr>
      <vt:lpstr>II2KA!Druckbereich</vt:lpstr>
      <vt:lpstr>II2SA!Druckbereich</vt:lpstr>
      <vt:lpstr>II3Ext!Druckbereich</vt:lpstr>
      <vt:lpstr>'Eingabe Abitur'!Drucktitel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 Augsburg</dc:creator>
  <cp:lastModifiedBy>Claus Konrad</cp:lastModifiedBy>
  <cp:lastPrinted>2025-10-05T17:40:56Z</cp:lastPrinted>
  <dcterms:created xsi:type="dcterms:W3CDTF">2001-05-29T23:50:03Z</dcterms:created>
  <dcterms:modified xsi:type="dcterms:W3CDTF">2026-10-01T11:00:39Z</dcterms:modified>
</cp:coreProperties>
</file>